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defaultThemeVersion="124226"/>
  <mc:AlternateContent xmlns:mc="http://schemas.openxmlformats.org/markup-compatibility/2006">
    <mc:Choice Requires="x15">
      <x15ac:absPath xmlns:x15ac="http://schemas.microsoft.com/office/spreadsheetml/2010/11/ac" url="C:\Users\Miriam Garcia\Downloads\"/>
    </mc:Choice>
  </mc:AlternateContent>
  <xr:revisionPtr revIDLastSave="0" documentId="13_ncr:1_{B447B0F2-F060-4EF4-B0E0-23170EE91A33}" xr6:coauthVersionLast="36" xr6:coauthVersionMax="47" xr10:uidLastSave="{00000000-0000-0000-0000-000000000000}"/>
  <bookViews>
    <workbookView xWindow="0" yWindow="0" windowWidth="19200" windowHeight="6810" activeTab="3" xr2:uid="{00000000-000D-0000-FFFF-FFFF00000000}"/>
  </bookViews>
  <sheets>
    <sheet name="FORMATO DE SOLICITUD" sheetId="8" r:id="rId1"/>
    <sheet name="RESUMEN DE GASTOS " sheetId="7" state="hidden" r:id="rId2"/>
    <sheet name="DETALLE COMPROBACIÓN" sheetId="12" state="hidden" r:id="rId3"/>
    <sheet name="FORMATO COMPROBACIÓN" sheetId="13" r:id="rId4"/>
    <sheet name="Hoja4" sheetId="10" state="hidden" r:id="rId5"/>
    <sheet name="Hoja5" sheetId="11" state="hidden" r:id="rId6"/>
  </sheets>
  <externalReferences>
    <externalReference r:id="rId7"/>
  </externalReferences>
  <definedNames>
    <definedName name="Añitos">#REF!</definedName>
    <definedName name="AÑOS">#REF!</definedName>
    <definedName name="_xlnm.Print_Area" localSheetId="2">'DETALLE COMPROBACIÓN'!$A$1:$J$68</definedName>
    <definedName name="_xlnm.Print_Area" localSheetId="3">'FORMATO COMPROBACIÓN'!$A$1:$J$60</definedName>
    <definedName name="_xlnm.Print_Area" localSheetId="0">'FORMATO DE SOLICITUD'!$A$1:$L$49</definedName>
    <definedName name="_xlnm.Print_Area" localSheetId="1">'RESUMEN DE GASTOS '!$A$1:$L$62</definedName>
    <definedName name="LISTA_DE_RUCS">OFFSET(#REF!,0,0,COUNTA(#REF!)-1,1)</definedName>
    <definedName name="MESES">#REF!</definedName>
    <definedName name="mesesitos">#REF!</definedName>
    <definedName name="PRODUCTOS">[1]Data!$A$2:$A$4</definedName>
  </definedNames>
  <calcPr calcId="191029"/>
</workbook>
</file>

<file path=xl/calcChain.xml><?xml version="1.0" encoding="utf-8"?>
<calcChain xmlns="http://schemas.openxmlformats.org/spreadsheetml/2006/main">
  <c r="I4" i="13" l="1"/>
  <c r="K4" i="8"/>
  <c r="F34" i="13"/>
  <c r="G47" i="12"/>
  <c r="G49" i="12" s="1"/>
  <c r="G33" i="12"/>
  <c r="G35" i="12" s="1"/>
  <c r="G21" i="12"/>
  <c r="G23" i="12" s="1"/>
  <c r="F35" i="13" l="1"/>
  <c r="G59" i="12"/>
  <c r="G63" i="12" l="1"/>
  <c r="G64" i="12" s="1"/>
  <c r="G66" i="12" s="1"/>
  <c r="J22" i="8" l="1"/>
  <c r="G44" i="7"/>
</calcChain>
</file>

<file path=xl/sharedStrings.xml><?xml version="1.0" encoding="utf-8"?>
<sst xmlns="http://schemas.openxmlformats.org/spreadsheetml/2006/main" count="252" uniqueCount="166">
  <si>
    <t>Total</t>
  </si>
  <si>
    <t xml:space="preserve">Alimentos </t>
  </si>
  <si>
    <t xml:space="preserve">Taxi </t>
  </si>
  <si>
    <t>Lugar (Ciudad y Estado):</t>
  </si>
  <si>
    <t>Importe</t>
  </si>
  <si>
    <t>Total solicitado</t>
  </si>
  <si>
    <t xml:space="preserve">Gasolina </t>
  </si>
  <si>
    <t xml:space="preserve">Hospedaje </t>
  </si>
  <si>
    <t>Importe autorizado</t>
  </si>
  <si>
    <t>Importe en letra</t>
  </si>
  <si>
    <t>Otros:</t>
  </si>
  <si>
    <t>Concepto</t>
  </si>
  <si>
    <t>ANEXO 3</t>
  </si>
  <si>
    <t>ANEXO 2</t>
  </si>
  <si>
    <t>Tipo</t>
  </si>
  <si>
    <t>Comprobante</t>
  </si>
  <si>
    <t>Recibo fiscal (Factura)</t>
  </si>
  <si>
    <t>Servicios de taxi aeroportuarios</t>
  </si>
  <si>
    <t>Renta de autos automóvil con agencias de servicios</t>
  </si>
  <si>
    <t>Línea de autobús</t>
  </si>
  <si>
    <t>Servicio de Transporte por medio de Aplicaciones (uber, didi, cabify, etc.)</t>
  </si>
  <si>
    <t>Nivel</t>
  </si>
  <si>
    <t>Zonas más económicas "A"</t>
  </si>
  <si>
    <t>Zonas menos económicas "B"</t>
  </si>
  <si>
    <t>Grupo Jerárquico J hasta G</t>
  </si>
  <si>
    <t>Hospedaje</t>
  </si>
  <si>
    <t>Director General</t>
  </si>
  <si>
    <t> $1650</t>
  </si>
  <si>
    <t> $3240</t>
  </si>
  <si>
    <t>Grupo Jerárquico P hasta K</t>
  </si>
  <si>
    <t>Director General Adjunto</t>
  </si>
  <si>
    <t xml:space="preserve">Director Ejecutivo </t>
  </si>
  <si>
    <t xml:space="preserve">Coordinador </t>
  </si>
  <si>
    <t xml:space="preserve">Director </t>
  </si>
  <si>
    <t> $1250</t>
  </si>
  <si>
    <t>$1700</t>
  </si>
  <si>
    <t xml:space="preserve">Gerente </t>
  </si>
  <si>
    <t xml:space="preserve">Subgerente </t>
  </si>
  <si>
    <t xml:space="preserve">Administrativo </t>
  </si>
  <si>
    <t>Personal operativo</t>
  </si>
  <si>
    <t> $870</t>
  </si>
  <si>
    <t> $980</t>
  </si>
  <si>
    <t>Desayno</t>
  </si>
  <si>
    <t>Cena</t>
  </si>
  <si>
    <t>Comida</t>
  </si>
  <si>
    <t xml:space="preserve">Importe </t>
  </si>
  <si>
    <t>MANDO SUPERIOR</t>
  </si>
  <si>
    <t>MANDO MEDIO</t>
  </si>
  <si>
    <t>APLICACIÓN TARIFAS</t>
  </si>
  <si>
    <t>CUOTA DIARIA EN PESOS</t>
  </si>
  <si>
    <t>Zona “A”</t>
  </si>
  <si>
    <t>Zona “B</t>
  </si>
  <si>
    <t>Zona marginada</t>
  </si>
  <si>
    <t>925.00</t>
  </si>
  <si>
    <t>2,900.00</t>
  </si>
  <si>
    <t>1,850.00</t>
  </si>
  <si>
    <t>RESTO DEL PERSONAL</t>
  </si>
  <si>
    <t>NIVEL</t>
  </si>
  <si>
    <t>Alimentos</t>
  </si>
  <si>
    <r>
      <t>Alimentos</t>
    </r>
    <r>
      <rPr>
        <b/>
        <sz val="11"/>
        <color rgb="FF000000"/>
        <rFont val="Calibri"/>
        <family val="2"/>
      </rPr>
      <t xml:space="preserve"> </t>
    </r>
  </si>
  <si>
    <t>Zonas menos económicas "A"</t>
  </si>
  <si>
    <t>Zonas mas económicas "B"</t>
  </si>
  <si>
    <t xml:space="preserve"> </t>
  </si>
  <si>
    <t xml:space="preserve">Lugar y fecha  </t>
  </si>
  <si>
    <t>Ciudad de Mexico a              de 2022</t>
  </si>
  <si>
    <t>Itinerario y resumen de actividades</t>
  </si>
  <si>
    <t>Itinerario y resumen de actividades:</t>
  </si>
  <si>
    <t xml:space="preserve">Desglose de viáticos </t>
  </si>
  <si>
    <t>Datos del Trabajador</t>
  </si>
  <si>
    <t xml:space="preserve">Nombre: </t>
  </si>
  <si>
    <t xml:space="preserve">Puesto y Área: </t>
  </si>
  <si>
    <t xml:space="preserve">Periodo de Gasto Realizado: </t>
  </si>
  <si>
    <t>Total por Rubro</t>
  </si>
  <si>
    <t>Rubro Viáticos</t>
  </si>
  <si>
    <t xml:space="preserve">1. Hospedaje </t>
  </si>
  <si>
    <t>2. Alimentación</t>
  </si>
  <si>
    <t>3. Taxis</t>
  </si>
  <si>
    <t>5. Casetas</t>
  </si>
  <si>
    <t>6. Peaje</t>
  </si>
  <si>
    <t>7. Gastos Administrativos (mensajeria,copias,llamadas etc.)</t>
  </si>
  <si>
    <t>8. Gastos no facturables</t>
  </si>
  <si>
    <t>9. Otros</t>
  </si>
  <si>
    <t xml:space="preserve">Importe entregado para viáticos </t>
  </si>
  <si>
    <t>Diferencia (Importe por reembolsar a favor o en contra)</t>
  </si>
  <si>
    <t>OBSERVACIONES:</t>
  </si>
  <si>
    <t>RESUMEN DE COMPROBACIÓN DE GASTOS</t>
  </si>
  <si>
    <t xml:space="preserve">Total de gastos comprobados  </t>
  </si>
  <si>
    <t xml:space="preserve">4. Pasajes Autobus </t>
  </si>
  <si>
    <t xml:space="preserve">FORMATO SOLICITUD DE VIÁTICOS </t>
  </si>
  <si>
    <t xml:space="preserve">Datos de las actividades por realizar </t>
  </si>
  <si>
    <t>Puesto y Área</t>
  </si>
  <si>
    <t xml:space="preserve">Periodo de trabajo </t>
  </si>
  <si>
    <t>Nombre</t>
  </si>
  <si>
    <t>Lugar a visitar</t>
  </si>
  <si>
    <t xml:space="preserve">Monto solicitado por Rubro </t>
  </si>
  <si>
    <t>Por medio del presente solicito el monto de Viáticos para las actividades a las que fui designada(o) y que a continuación se detalla:</t>
  </si>
  <si>
    <t xml:space="preserve">Autobús </t>
  </si>
  <si>
    <t>Comentarios/Detalles</t>
  </si>
  <si>
    <t>El interesado declara que el importe recibido será aplicado exclusivamente en los conceptos correspondientes de viáticos autorizados.</t>
  </si>
  <si>
    <t xml:space="preserve">DATOS BANCARIOS DEL TRABAJADOR </t>
  </si>
  <si>
    <t xml:space="preserve">Solicitó </t>
  </si>
  <si>
    <t xml:space="preserve">Autorizó </t>
  </si>
  <si>
    <r>
      <t xml:space="preserve">Pasaje Aéreo : 
</t>
    </r>
    <r>
      <rPr>
        <sz val="10"/>
        <rFont val="Arial"/>
        <family val="2"/>
      </rPr>
      <t xml:space="preserve">En caso de requerir vuelos, describir dia, hora o itinerario específico en que se requiere. </t>
    </r>
  </si>
  <si>
    <t>HOSPEDAJE</t>
  </si>
  <si>
    <t>N°</t>
  </si>
  <si>
    <t>FECHA</t>
  </si>
  <si>
    <t>DETALLE</t>
  </si>
  <si>
    <t>MONTO</t>
  </si>
  <si>
    <t>Alojamiento 1 noche</t>
  </si>
  <si>
    <t>Hostal Antares</t>
  </si>
  <si>
    <t>28 de julio</t>
  </si>
  <si>
    <t>29 de julio</t>
  </si>
  <si>
    <t>Hostal Alcanfores</t>
  </si>
  <si>
    <t>TOTAL</t>
  </si>
  <si>
    <t>ALIMENTACIÓN</t>
  </si>
  <si>
    <t>27 de julio</t>
  </si>
  <si>
    <t>1 almuerzo</t>
  </si>
  <si>
    <t>El Buen Paladar</t>
  </si>
  <si>
    <t>1 cena</t>
  </si>
  <si>
    <t>Doña Peta</t>
  </si>
  <si>
    <t>Transportes Línea</t>
  </si>
  <si>
    <t>TRC</t>
  </si>
  <si>
    <t>FIRMA</t>
  </si>
  <si>
    <t xml:space="preserve">IVA </t>
  </si>
  <si>
    <t>Folio/
Comprobante</t>
  </si>
  <si>
    <t>Concepto detalle</t>
  </si>
  <si>
    <t xml:space="preserve">IMPORTE </t>
  </si>
  <si>
    <t>Fecha</t>
  </si>
  <si>
    <t>Proveedor</t>
  </si>
  <si>
    <t>Sustentado con factura</t>
  </si>
  <si>
    <t>Por el presente, adjunto el detalle de los gastos incurridos durante el viaje que me fue asignado hacia la ciudad de …...................................por motivos de ……………………………………………………  desde el día ……………...… hasta ……………………...… Asimismo adjunto las copias de los  comprobantes de pago detallados en este informe.</t>
  </si>
  <si>
    <t>Por el presente, adjunto el detalle de los gastos realizados durante el viaje que me fue asignado hacia …...................................por motivos de ……………………………………………………  desde el día ……………...… hasta ……………………...… Adjunto  copias de los  comprobantes de pago.</t>
  </si>
  <si>
    <t>GASTOS SIN FACTURA</t>
  </si>
  <si>
    <t>TRANSPORTE</t>
  </si>
  <si>
    <t>IMPORTE TOTAL</t>
  </si>
  <si>
    <t>IVA</t>
  </si>
  <si>
    <t>DIFERENCIA</t>
  </si>
  <si>
    <t>Detalle de Comprobación de Gastos</t>
  </si>
  <si>
    <t>Firmas</t>
  </si>
  <si>
    <t>Datos de las Actividades realizadas</t>
  </si>
  <si>
    <t>Lugar (Ciudad y Estado)</t>
  </si>
  <si>
    <t>Periodo de Gasto Realizado</t>
  </si>
  <si>
    <t>Itinerario y resumen de actividades realizadas</t>
  </si>
  <si>
    <t>Monto desglosado</t>
  </si>
  <si>
    <t>Detalle del gasto</t>
  </si>
  <si>
    <t>Fecha Comprobante</t>
  </si>
  <si>
    <t>Folio Comprobante</t>
  </si>
  <si>
    <t>Proveedor (Razón Social)</t>
  </si>
  <si>
    <t>Subtotal</t>
  </si>
  <si>
    <t>Propina</t>
  </si>
  <si>
    <t>Solicitó</t>
  </si>
  <si>
    <t>Peajes (Casetas)</t>
  </si>
  <si>
    <t xml:space="preserve">Ciudad de Mexico a:      </t>
  </si>
  <si>
    <t>F-SV-CH-1</t>
  </si>
  <si>
    <t>Versión 01</t>
  </si>
  <si>
    <t xml:space="preserve">Ciudad de Mexico a:     </t>
  </si>
  <si>
    <t>F-CRV-CH-2</t>
  </si>
  <si>
    <t>FORMATO COMPROBACIÓN Y REEMBOLSO DE VIÁTICOS</t>
  </si>
  <si>
    <t xml:space="preserve">Nombre de Director de Área </t>
  </si>
  <si>
    <t>Nombre de Director de Área</t>
  </si>
  <si>
    <t>Nombre:</t>
  </si>
  <si>
    <t xml:space="preserve">Institución Bancaria: </t>
  </si>
  <si>
    <t xml:space="preserve">CLABE: </t>
  </si>
  <si>
    <t xml:space="preserve">No de Cuenta: </t>
  </si>
  <si>
    <t xml:space="preserve"> Tarjeta: </t>
  </si>
  <si>
    <t>Nombre completo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</si>
</sst>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8" formatCode="&quot;$&quot;#,##0.00;[Red]\-&quot;$&quot;#,##0.00"/>
    <numFmt numFmtId="44" formatCode="_-&quot;$&quot;* #,##0.00_-;\-&quot;$&quot;* #,##0.00_-;_-&quot;$&quot;* &quot;-&quot;??_-;_-@_-"/>
    <numFmt numFmtId="164" formatCode="&quot;$&quot;#,##0.00"/>
    <numFmt numFmtId="165" formatCode="_ * #,##0.00_ ;_ * \-#,##0.00_ ;_ * &quot;-&quot;??_ ;_ @_ "/>
    <numFmt numFmtId="166" formatCode="dd/mm/yyyy;@"/>
    <numFmt numFmtId="167" formatCode="dd\ &quot;de&quot;\ mmmm"/>
    <numFmt numFmtId="168" formatCode="_-&quot;$&quot;* #,##0_-;\-&quot;$&quot;* #,##0_-;_-&quot;$&quot;* &quot;-&quot;??_-;_-@_-"/>
    <numFmt numFmtId="169" formatCode="[$-F800]dddd\,\ mmmm\ dd\,\ yyyy"/>
  </numFmts>
  <fonts count="35" x14ac:knownFonts="1">
    <font>
      <sz val="10"/>
      <name val="Arial"/>
    </font>
    <font>
      <sz val="11"/>
      <color theme="1"/>
      <name val="Calibri"/>
      <family val="2"/>
      <scheme val="minor"/>
    </font>
    <font>
      <sz val="10"/>
      <name val="Arial"/>
      <family val="2"/>
    </font>
    <font>
      <b/>
      <sz val="11"/>
      <color theme="1"/>
      <name val="Calibri"/>
      <family val="2"/>
      <scheme val="minor"/>
    </font>
    <font>
      <b/>
      <sz val="10"/>
      <color theme="0"/>
      <name val="Arial"/>
      <family val="2"/>
    </font>
    <font>
      <u/>
      <sz val="10"/>
      <name val="Arial"/>
      <family val="2"/>
    </font>
    <font>
      <b/>
      <sz val="10"/>
      <name val="Arial"/>
      <family val="2"/>
    </font>
    <font>
      <sz val="11"/>
      <name val="Calibri"/>
      <family val="2"/>
    </font>
    <font>
      <b/>
      <sz val="12"/>
      <color rgb="FFFFFFFF"/>
      <name val="Calibri"/>
      <family val="2"/>
    </font>
    <font>
      <b/>
      <sz val="12"/>
      <color rgb="FF000000"/>
      <name val="Calibri"/>
      <family val="2"/>
    </font>
    <font>
      <sz val="12"/>
      <color rgb="FF000000"/>
      <name val="Calibri"/>
      <family val="2"/>
    </font>
    <font>
      <b/>
      <sz val="11"/>
      <color rgb="FFFFFFFF"/>
      <name val="Calibri"/>
      <family val="2"/>
    </font>
    <font>
      <b/>
      <sz val="11"/>
      <color rgb="FF000000"/>
      <name val="Calibri"/>
      <family val="2"/>
    </font>
    <font>
      <sz val="11"/>
      <color rgb="FF000000"/>
      <name val="Calibri"/>
      <family val="2"/>
    </font>
    <font>
      <sz val="8"/>
      <name val="Calibri"/>
      <family val="2"/>
    </font>
    <font>
      <b/>
      <sz val="11"/>
      <name val="Arial"/>
      <family val="2"/>
    </font>
    <font>
      <b/>
      <sz val="11"/>
      <color theme="0"/>
      <name val="Arial"/>
      <family val="2"/>
    </font>
    <font>
      <b/>
      <sz val="12"/>
      <color theme="0"/>
      <name val="Arial"/>
      <family val="2"/>
    </font>
    <font>
      <b/>
      <sz val="9"/>
      <name val="Arial"/>
      <family val="2"/>
    </font>
    <font>
      <b/>
      <sz val="12"/>
      <name val="Arial"/>
      <family val="2"/>
    </font>
    <font>
      <b/>
      <sz val="13"/>
      <name val="Arial"/>
      <family val="2"/>
    </font>
    <font>
      <i/>
      <sz val="10"/>
      <name val="Arial"/>
      <family val="2"/>
    </font>
    <font>
      <i/>
      <sz val="11"/>
      <name val="Arial"/>
      <family val="2"/>
    </font>
    <font>
      <b/>
      <i/>
      <sz val="11"/>
      <name val="Arial"/>
      <family val="2"/>
    </font>
    <font>
      <b/>
      <i/>
      <sz val="10"/>
      <name val="Arial"/>
      <family val="2"/>
    </font>
    <font>
      <b/>
      <sz val="12"/>
      <color theme="1"/>
      <name val="Calibri"/>
      <family val="2"/>
      <scheme val="minor"/>
    </font>
    <font>
      <i/>
      <sz val="11"/>
      <color theme="1"/>
      <name val="Calibri"/>
      <family val="2"/>
      <scheme val="minor"/>
    </font>
    <font>
      <b/>
      <sz val="10"/>
      <color theme="1"/>
      <name val="Calibri"/>
      <family val="2"/>
      <scheme val="minor"/>
    </font>
    <font>
      <sz val="11"/>
      <color theme="1"/>
      <name val="Arial"/>
      <family val="2"/>
    </font>
    <font>
      <sz val="10"/>
      <color theme="1"/>
      <name val="Calibri"/>
      <family val="2"/>
      <scheme val="minor"/>
    </font>
    <font>
      <b/>
      <sz val="10"/>
      <color theme="1"/>
      <name val="Arial"/>
      <family val="2"/>
    </font>
    <font>
      <i/>
      <sz val="11"/>
      <color theme="1"/>
      <name val="Arial"/>
      <family val="2"/>
    </font>
    <font>
      <b/>
      <sz val="13"/>
      <color theme="1"/>
      <name val="Arial"/>
      <family val="2"/>
    </font>
    <font>
      <b/>
      <sz val="11"/>
      <color theme="1"/>
      <name val="Arial"/>
      <family val="2"/>
    </font>
    <font>
      <sz val="11"/>
      <name val="Arial"/>
      <family val="2"/>
    </font>
  </fonts>
  <fills count="8">
    <fill>
      <patternFill patternType="none"/>
    </fill>
    <fill>
      <patternFill patternType="gray125"/>
    </fill>
    <fill>
      <patternFill patternType="solid">
        <fgColor theme="0"/>
        <bgColor indexed="64"/>
      </patternFill>
    </fill>
    <fill>
      <patternFill patternType="solid">
        <fgColor rgb="FF00B0F0"/>
        <bgColor indexed="64"/>
      </patternFill>
    </fill>
    <fill>
      <patternFill patternType="solid">
        <fgColor rgb="FF002060"/>
        <bgColor indexed="64"/>
      </patternFill>
    </fill>
    <fill>
      <patternFill patternType="solid">
        <fgColor theme="0" tint="-0.249977111117893"/>
        <bgColor indexed="64"/>
      </patternFill>
    </fill>
    <fill>
      <patternFill patternType="solid">
        <fgColor rgb="FFCCD4DE"/>
        <bgColor indexed="64"/>
      </patternFill>
    </fill>
    <fill>
      <patternFill patternType="solid">
        <fgColor theme="0" tint="-0.14999847407452621"/>
        <bgColor indexed="64"/>
      </patternFill>
    </fill>
  </fills>
  <borders count="54">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medium">
        <color theme="0" tint="-0.34998626667073579"/>
      </left>
      <right/>
      <top style="medium">
        <color theme="0" tint="-0.34998626667073579"/>
      </top>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style="thin">
        <color theme="1" tint="0.14996795556505021"/>
      </left>
      <right style="thin">
        <color theme="1" tint="0.14996795556505021"/>
      </right>
      <top style="thin">
        <color theme="1" tint="0.14996795556505021"/>
      </top>
      <bottom style="thin">
        <color theme="1" tint="0.14996795556505021"/>
      </bottom>
      <diagonal/>
    </border>
    <border>
      <left style="thin">
        <color theme="1" tint="0.14996795556505021"/>
      </left>
      <right/>
      <top style="thin">
        <color theme="1" tint="0.14996795556505021"/>
      </top>
      <bottom style="thin">
        <color theme="1" tint="0.14996795556505021"/>
      </bottom>
      <diagonal/>
    </border>
    <border>
      <left/>
      <right/>
      <top style="thin">
        <color theme="1" tint="0.14996795556505021"/>
      </top>
      <bottom style="thin">
        <color theme="1" tint="0.14996795556505021"/>
      </bottom>
      <diagonal/>
    </border>
    <border>
      <left/>
      <right style="thin">
        <color theme="1" tint="0.14996795556505021"/>
      </right>
      <top style="thin">
        <color theme="1" tint="0.14996795556505021"/>
      </top>
      <bottom style="thin">
        <color theme="1" tint="0.14996795556505021"/>
      </bottom>
      <diagonal/>
    </border>
    <border>
      <left style="medium">
        <color rgb="FFA6A6A6"/>
      </left>
      <right/>
      <top style="medium">
        <color rgb="FFA6A6A6"/>
      </top>
      <bottom style="medium">
        <color rgb="FFA6A6A6"/>
      </bottom>
      <diagonal/>
    </border>
    <border>
      <left/>
      <right/>
      <top style="medium">
        <color rgb="FFA6A6A6"/>
      </top>
      <bottom style="medium">
        <color rgb="FFA6A6A6"/>
      </bottom>
      <diagonal/>
    </border>
    <border>
      <left/>
      <right style="medium">
        <color rgb="FFA6A6A6"/>
      </right>
      <top style="medium">
        <color rgb="FFA6A6A6"/>
      </top>
      <bottom style="medium">
        <color rgb="FFA6A6A6"/>
      </bottom>
      <diagonal/>
    </border>
    <border>
      <left style="medium">
        <color rgb="FFA6A6A6"/>
      </left>
      <right style="medium">
        <color rgb="FFA6A6A6"/>
      </right>
      <top/>
      <bottom style="medium">
        <color rgb="FFA6A6A6"/>
      </bottom>
      <diagonal/>
    </border>
    <border>
      <left style="medium">
        <color rgb="FFA6A6A6"/>
      </left>
      <right/>
      <top/>
      <bottom style="medium">
        <color rgb="FFA6A6A6"/>
      </bottom>
      <diagonal/>
    </border>
    <border>
      <left/>
      <right style="medium">
        <color rgb="FFA6A6A6"/>
      </right>
      <top/>
      <bottom style="medium">
        <color rgb="FFA6A6A6"/>
      </bottom>
      <diagonal/>
    </border>
    <border>
      <left/>
      <right style="medium">
        <color rgb="FFA6A6A6"/>
      </right>
      <top/>
      <bottom/>
      <diagonal/>
    </border>
    <border>
      <left style="medium">
        <color rgb="FFA6A6A6"/>
      </left>
      <right style="medium">
        <color rgb="FFA6A6A6"/>
      </right>
      <top style="medium">
        <color rgb="FFA6A6A6"/>
      </top>
      <bottom/>
      <diagonal/>
    </border>
    <border>
      <left style="medium">
        <color rgb="FFA6A6A6"/>
      </left>
      <right style="medium">
        <color rgb="FFA6A6A6"/>
      </right>
      <top/>
      <bottom/>
      <diagonal/>
    </border>
    <border>
      <left/>
      <right style="medium">
        <color rgb="FFA6A6A6"/>
      </right>
      <top style="medium">
        <color rgb="FFA6A6A6"/>
      </top>
      <bottom/>
      <diagonal/>
    </border>
    <border>
      <left style="medium">
        <color rgb="FFA6A6A6"/>
      </left>
      <right/>
      <top/>
      <bottom/>
      <diagonal/>
    </border>
    <border>
      <left style="medium">
        <color rgb="FFA6A6A6"/>
      </left>
      <right/>
      <top style="medium">
        <color rgb="FFA6A6A6"/>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34998626667073579"/>
      </left>
      <right/>
      <top style="thin">
        <color theme="0" tint="-0.34998626667073579"/>
      </top>
      <bottom style="thin">
        <color theme="0" tint="-0.34998626667073579"/>
      </bottom>
      <diagonal/>
    </border>
    <border>
      <left style="medium">
        <color theme="0" tint="-0.34998626667073579"/>
      </left>
      <right style="medium">
        <color theme="0" tint="-0.34998626667073579"/>
      </right>
      <top/>
      <bottom/>
      <diagonal/>
    </border>
    <border>
      <left style="medium">
        <color theme="0" tint="-0.34998626667073579"/>
      </left>
      <right style="medium">
        <color theme="0" tint="-0.34998626667073579"/>
      </right>
      <top style="medium">
        <color theme="0" tint="-0.34998626667073579"/>
      </top>
      <bottom/>
      <diagonal/>
    </border>
    <border>
      <left style="medium">
        <color theme="0" tint="-0.34998626667073579"/>
      </left>
      <right style="medium">
        <color theme="0" tint="-0.34998626667073579"/>
      </right>
      <top/>
      <bottom style="medium">
        <color theme="0" tint="-0.34998626667073579"/>
      </bottom>
      <diagonal/>
    </border>
    <border>
      <left style="medium">
        <color theme="0" tint="-0.34998626667073579"/>
      </left>
      <right/>
      <top style="medium">
        <color rgb="FFA6A6A6"/>
      </top>
      <bottom/>
      <diagonal/>
    </border>
    <border>
      <left/>
      <right/>
      <top/>
      <bottom style="thin">
        <color indexed="64"/>
      </bottom>
      <diagonal/>
    </border>
    <border>
      <left style="thin">
        <color theme="1" tint="0.14996795556505021"/>
      </left>
      <right style="thin">
        <color theme="1" tint="0.14996795556505021"/>
      </right>
      <top style="thin">
        <color theme="1" tint="0.14996795556505021"/>
      </top>
      <bottom/>
      <diagonal/>
    </border>
    <border>
      <left style="thin">
        <color theme="1" tint="0.14996795556505021"/>
      </left>
      <right style="thin">
        <color theme="1" tint="0.14996795556505021"/>
      </right>
      <top/>
      <bottom/>
      <diagonal/>
    </border>
    <border>
      <left style="thin">
        <color theme="1" tint="0.14996795556505021"/>
      </left>
      <right style="thin">
        <color theme="1" tint="0.14996795556505021"/>
      </right>
      <top/>
      <bottom style="thin">
        <color theme="1" tint="0.14996795556505021"/>
      </bottom>
      <diagonal/>
    </border>
    <border>
      <left style="thin">
        <color theme="1" tint="0.14996795556505021"/>
      </left>
      <right/>
      <top style="thin">
        <color theme="1" tint="0.14996795556505021"/>
      </top>
      <bottom/>
      <diagonal/>
    </border>
    <border>
      <left/>
      <right style="thin">
        <color theme="1" tint="0.14996795556505021"/>
      </right>
      <top style="thin">
        <color theme="1" tint="0.14996795556505021"/>
      </top>
      <bottom/>
      <diagonal/>
    </border>
    <border>
      <left style="thin">
        <color theme="1" tint="0.14996795556505021"/>
      </left>
      <right/>
      <top/>
      <bottom/>
      <diagonal/>
    </border>
    <border>
      <left/>
      <right style="thin">
        <color theme="1" tint="0.14996795556505021"/>
      </right>
      <top/>
      <bottom/>
      <diagonal/>
    </border>
    <border>
      <left style="thin">
        <color theme="1" tint="0.14996795556505021"/>
      </left>
      <right/>
      <top/>
      <bottom style="thin">
        <color theme="1" tint="0.14996795556505021"/>
      </bottom>
      <diagonal/>
    </border>
    <border>
      <left/>
      <right style="thin">
        <color theme="1" tint="0.14996795556505021"/>
      </right>
      <top/>
      <bottom style="thin">
        <color theme="1" tint="0.14996795556505021"/>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top style="thin">
        <color theme="1" tint="0.14996795556505021"/>
      </top>
      <bottom/>
      <diagonal/>
    </border>
    <border>
      <left/>
      <right/>
      <top/>
      <bottom style="thin">
        <color theme="1" tint="0.14996795556505021"/>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s>
  <cellStyleXfs count="5">
    <xf numFmtId="0" fontId="0" fillId="0" borderId="0"/>
    <xf numFmtId="0" fontId="1" fillId="0" borderId="0"/>
    <xf numFmtId="165" fontId="1" fillId="0" borderId="0" applyFont="0" applyFill="0" applyBorder="0" applyAlignment="0" applyProtection="0"/>
    <xf numFmtId="0" fontId="2" fillId="0" borderId="0"/>
    <xf numFmtId="44" fontId="2" fillId="0" borderId="0" applyFont="0" applyFill="0" applyBorder="0" applyAlignment="0" applyProtection="0"/>
  </cellStyleXfs>
  <cellXfs count="334">
    <xf numFmtId="0" fontId="0" fillId="0" borderId="0" xfId="0"/>
    <xf numFmtId="0" fontId="2" fillId="0" borderId="0" xfId="0" applyFont="1"/>
    <xf numFmtId="0" fontId="5" fillId="0" borderId="0" xfId="0" applyFont="1"/>
    <xf numFmtId="0" fontId="6" fillId="0" borderId="0" xfId="0" applyFont="1"/>
    <xf numFmtId="0" fontId="7" fillId="0" borderId="0" xfId="0" applyFont="1"/>
    <xf numFmtId="0" fontId="2" fillId="0" borderId="21" xfId="0" applyFont="1" applyBorder="1" applyAlignment="1">
      <alignment horizontal="center" vertical="center" wrapText="1"/>
    </xf>
    <xf numFmtId="0" fontId="4" fillId="3" borderId="21" xfId="0" applyFont="1" applyFill="1" applyBorder="1" applyAlignment="1">
      <alignment horizontal="center" vertical="center" wrapText="1"/>
    </xf>
    <xf numFmtId="0" fontId="8" fillId="3" borderId="16" xfId="0" applyFont="1" applyFill="1" applyBorder="1" applyAlignment="1">
      <alignment horizontal="center" vertical="center"/>
    </xf>
    <xf numFmtId="0" fontId="8" fillId="3" borderId="18" xfId="0" applyFont="1" applyFill="1" applyBorder="1" applyAlignment="1">
      <alignment horizontal="center" vertical="center"/>
    </xf>
    <xf numFmtId="0" fontId="8" fillId="3" borderId="18" xfId="0" applyFont="1" applyFill="1" applyBorder="1" applyAlignment="1">
      <alignment horizontal="center" vertical="center" wrapText="1"/>
    </xf>
    <xf numFmtId="0" fontId="10" fillId="0" borderId="18" xfId="0" applyFont="1" applyBorder="1" applyAlignment="1">
      <alignment vertical="center"/>
    </xf>
    <xf numFmtId="0" fontId="9" fillId="0" borderId="12" xfId="0" applyFont="1" applyBorder="1" applyAlignment="1">
      <alignment vertical="center" wrapText="1"/>
    </xf>
    <xf numFmtId="0" fontId="10" fillId="0" borderId="14" xfId="0" applyFont="1" applyBorder="1" applyAlignment="1">
      <alignment vertical="center"/>
    </xf>
    <xf numFmtId="0" fontId="10" fillId="0" borderId="15" xfId="0" applyFont="1" applyBorder="1" applyAlignment="1">
      <alignment vertical="center"/>
    </xf>
    <xf numFmtId="0" fontId="7" fillId="0" borderId="15" xfId="0" applyFont="1" applyBorder="1"/>
    <xf numFmtId="0" fontId="9" fillId="0" borderId="12" xfId="0" applyFont="1" applyBorder="1" applyAlignment="1">
      <alignment vertical="center"/>
    </xf>
    <xf numFmtId="0" fontId="9" fillId="0" borderId="14" xfId="0" applyFont="1" applyBorder="1" applyAlignment="1">
      <alignment vertical="center"/>
    </xf>
    <xf numFmtId="0" fontId="9" fillId="0" borderId="14" xfId="0" applyFont="1" applyBorder="1" applyAlignment="1">
      <alignment horizontal="center" vertical="center" wrapText="1"/>
    </xf>
    <xf numFmtId="0" fontId="9" fillId="0" borderId="16" xfId="0" applyFont="1" applyBorder="1" applyAlignment="1">
      <alignment vertical="center"/>
    </xf>
    <xf numFmtId="0" fontId="9" fillId="0" borderId="17" xfId="0" applyFont="1" applyBorder="1" applyAlignment="1">
      <alignment vertical="center" wrapText="1"/>
    </xf>
    <xf numFmtId="0" fontId="0" fillId="0" borderId="1" xfId="0" applyBorder="1"/>
    <xf numFmtId="0" fontId="6" fillId="3" borderId="1" xfId="0" applyFont="1" applyFill="1" applyBorder="1"/>
    <xf numFmtId="0" fontId="0" fillId="0" borderId="22" xfId="0" applyBorder="1"/>
    <xf numFmtId="0" fontId="2" fillId="0" borderId="23" xfId="0" applyFont="1" applyBorder="1"/>
    <xf numFmtId="0" fontId="2" fillId="0" borderId="3" xfId="0" applyFont="1" applyBorder="1"/>
    <xf numFmtId="0" fontId="9" fillId="0" borderId="2" xfId="0" applyFont="1" applyBorder="1" applyAlignment="1">
      <alignment vertical="center"/>
    </xf>
    <xf numFmtId="0" fontId="2" fillId="0" borderId="24" xfId="0" applyFont="1" applyBorder="1"/>
    <xf numFmtId="0" fontId="0" fillId="0" borderId="25" xfId="0" applyBorder="1"/>
    <xf numFmtId="0" fontId="9" fillId="0" borderId="26" xfId="0" applyFont="1" applyBorder="1" applyAlignment="1">
      <alignment vertical="center"/>
    </xf>
    <xf numFmtId="0" fontId="2" fillId="0" borderId="24" xfId="0" applyFont="1" applyBorder="1" applyAlignment="1">
      <alignment horizontal="left"/>
    </xf>
    <xf numFmtId="0" fontId="2" fillId="0" borderId="23" xfId="0" applyFont="1" applyBorder="1" applyAlignment="1">
      <alignment horizontal="left"/>
    </xf>
    <xf numFmtId="0" fontId="2" fillId="0" borderId="4" xfId="0" applyFont="1" applyBorder="1"/>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2" fillId="0" borderId="16" xfId="0" applyFont="1" applyBorder="1" applyAlignment="1">
      <alignment vertical="center" wrapText="1"/>
    </xf>
    <xf numFmtId="0" fontId="12" fillId="0" borderId="12" xfId="0" applyFont="1" applyBorder="1" applyAlignment="1">
      <alignment vertical="center" wrapText="1"/>
    </xf>
    <xf numFmtId="0" fontId="13" fillId="0" borderId="14" xfId="0" applyFont="1" applyBorder="1" applyAlignment="1">
      <alignment vertical="center"/>
    </xf>
    <xf numFmtId="0" fontId="12" fillId="0" borderId="17" xfId="0" applyFont="1" applyBorder="1" applyAlignment="1">
      <alignment vertical="center"/>
    </xf>
    <xf numFmtId="0" fontId="12" fillId="0" borderId="12" xfId="0" applyFont="1" applyBorder="1" applyAlignment="1">
      <alignment vertical="center"/>
    </xf>
    <xf numFmtId="0" fontId="12" fillId="0" borderId="14" xfId="0" applyFont="1" applyBorder="1" applyAlignment="1">
      <alignment vertical="center"/>
    </xf>
    <xf numFmtId="0" fontId="7" fillId="0" borderId="14" xfId="0" applyFont="1" applyBorder="1" applyAlignment="1">
      <alignment wrapText="1"/>
    </xf>
    <xf numFmtId="0" fontId="14" fillId="0" borderId="0" xfId="0" applyFont="1" applyAlignment="1">
      <alignment vertical="center"/>
    </xf>
    <xf numFmtId="0" fontId="0" fillId="0" borderId="27" xfId="0" applyBorder="1"/>
    <xf numFmtId="0" fontId="5" fillId="0" borderId="27" xfId="0" applyFont="1" applyBorder="1"/>
    <xf numFmtId="0" fontId="2" fillId="0" borderId="27" xfId="0" applyFont="1" applyBorder="1"/>
    <xf numFmtId="0" fontId="0" fillId="0" borderId="0" xfId="0" applyAlignment="1">
      <alignment vertical="center"/>
    </xf>
    <xf numFmtId="0" fontId="6" fillId="0" borderId="0" xfId="0" applyFont="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2" fillId="0" borderId="6" xfId="0" applyFont="1" applyBorder="1" applyAlignment="1">
      <alignment horizontal="left" vertical="center"/>
    </xf>
    <xf numFmtId="0" fontId="2" fillId="0" borderId="7" xfId="0" applyFont="1" applyBorder="1" applyAlignment="1">
      <alignment horizontal="left" vertical="center"/>
    </xf>
    <xf numFmtId="0" fontId="2" fillId="0" borderId="8" xfId="0" applyFont="1" applyBorder="1" applyAlignment="1">
      <alignment horizontal="left" vertical="center"/>
    </xf>
    <xf numFmtId="0" fontId="6" fillId="5" borderId="5" xfId="0" applyFont="1" applyFill="1" applyBorder="1" applyAlignment="1">
      <alignment horizontal="center" vertical="center"/>
    </xf>
    <xf numFmtId="0" fontId="6" fillId="0" borderId="6" xfId="0" applyFont="1" applyBorder="1" applyAlignment="1">
      <alignment horizontal="left" vertical="center"/>
    </xf>
    <xf numFmtId="0" fontId="6" fillId="0" borderId="8" xfId="0" applyFont="1" applyBorder="1" applyAlignment="1">
      <alignment horizontal="left" vertical="center"/>
    </xf>
    <xf numFmtId="164" fontId="6" fillId="5" borderId="6" xfId="0" applyNumberFormat="1" applyFont="1" applyFill="1" applyBorder="1" applyAlignment="1">
      <alignment horizontal="center" vertical="center"/>
    </xf>
    <xf numFmtId="164" fontId="6" fillId="5" borderId="8" xfId="0" applyNumberFormat="1" applyFont="1" applyFill="1" applyBorder="1" applyAlignment="1">
      <alignment horizontal="center" vertical="center"/>
    </xf>
    <xf numFmtId="0" fontId="18" fillId="0" borderId="0" xfId="0" applyFont="1"/>
    <xf numFmtId="0" fontId="6" fillId="0" borderId="0" xfId="0" applyFont="1" applyProtection="1">
      <protection locked="0"/>
    </xf>
    <xf numFmtId="0" fontId="6" fillId="0" borderId="0" xfId="0" applyFont="1" applyAlignment="1" applyProtection="1">
      <alignment horizontal="right"/>
      <protection locked="0"/>
    </xf>
    <xf numFmtId="0" fontId="6" fillId="0" borderId="0" xfId="0" applyFont="1" applyAlignment="1" applyProtection="1">
      <alignment horizontal="center" vertical="center"/>
      <protection locked="0"/>
    </xf>
    <xf numFmtId="0" fontId="6" fillId="0" borderId="0" xfId="0" applyFont="1" applyAlignment="1">
      <alignment horizontal="left" vertical="center"/>
    </xf>
    <xf numFmtId="164" fontId="19" fillId="5" borderId="6" xfId="0" applyNumberFormat="1" applyFont="1" applyFill="1" applyBorder="1" applyAlignment="1">
      <alignment horizontal="center" vertical="center"/>
    </xf>
    <xf numFmtId="164" fontId="19" fillId="5" borderId="8" xfId="0" applyNumberFormat="1" applyFont="1" applyFill="1" applyBorder="1" applyAlignment="1">
      <alignment horizontal="center" vertical="center"/>
    </xf>
    <xf numFmtId="0" fontId="6" fillId="0" borderId="37" xfId="0" applyFont="1" applyBorder="1" applyProtection="1">
      <protection locked="0"/>
    </xf>
    <xf numFmtId="0" fontId="20" fillId="0" borderId="0" xfId="0" applyFont="1"/>
    <xf numFmtId="0" fontId="15" fillId="0" borderId="5" xfId="0" applyFont="1" applyBorder="1" applyAlignment="1">
      <alignment vertical="center"/>
    </xf>
    <xf numFmtId="0" fontId="19" fillId="0" borderId="5" xfId="0" applyFont="1" applyBorder="1" applyAlignment="1">
      <alignment vertical="center"/>
    </xf>
    <xf numFmtId="0" fontId="2" fillId="0" borderId="0" xfId="0" applyFont="1" applyAlignment="1">
      <alignment horizontal="center" vertical="center"/>
    </xf>
    <xf numFmtId="0" fontId="23" fillId="0" borderId="0" xfId="0" applyFont="1" applyAlignment="1">
      <alignment horizontal="left"/>
    </xf>
    <xf numFmtId="0" fontId="15" fillId="0" borderId="0" xfId="0" applyFont="1" applyAlignment="1">
      <alignment horizontal="left" vertical="center"/>
    </xf>
    <xf numFmtId="0" fontId="6" fillId="5" borderId="41" xfId="0" applyFont="1" applyFill="1" applyBorder="1" applyAlignment="1">
      <alignment horizontal="center" vertical="center"/>
    </xf>
    <xf numFmtId="0" fontId="0" fillId="0" borderId="46" xfId="0" applyBorder="1" applyAlignment="1">
      <alignment horizontal="left" vertical="center"/>
    </xf>
    <xf numFmtId="0" fontId="0" fillId="0" borderId="49" xfId="0" applyBorder="1"/>
    <xf numFmtId="0" fontId="0" fillId="0" borderId="50" xfId="0" applyBorder="1"/>
    <xf numFmtId="0" fontId="0" fillId="2" borderId="47" xfId="0" applyFill="1" applyBorder="1" applyAlignment="1">
      <alignment horizontal="left" vertical="center"/>
    </xf>
    <xf numFmtId="0" fontId="0" fillId="0" borderId="51" xfId="0" applyBorder="1"/>
    <xf numFmtId="0" fontId="2" fillId="2" borderId="48" xfId="0" applyFont="1" applyFill="1" applyBorder="1" applyAlignment="1">
      <alignment horizontal="left" vertical="center"/>
    </xf>
    <xf numFmtId="0" fontId="0" fillId="0" borderId="52" xfId="0" applyBorder="1"/>
    <xf numFmtId="0" fontId="21" fillId="0" borderId="5" xfId="0" applyFont="1" applyBorder="1" applyAlignment="1">
      <alignment horizontal="center"/>
    </xf>
    <xf numFmtId="0" fontId="1" fillId="0" borderId="0" xfId="1"/>
    <xf numFmtId="165" fontId="0" fillId="0" borderId="0" xfId="2" applyFont="1"/>
    <xf numFmtId="0" fontId="1" fillId="0" borderId="0" xfId="1" applyAlignment="1">
      <alignment horizontal="center"/>
    </xf>
    <xf numFmtId="0" fontId="1" fillId="0" borderId="27" xfId="1" applyBorder="1"/>
    <xf numFmtId="165" fontId="0" fillId="0" borderId="27" xfId="2" applyFont="1" applyBorder="1"/>
    <xf numFmtId="0" fontId="25" fillId="0" borderId="0" xfId="1" applyFont="1"/>
    <xf numFmtId="0" fontId="26" fillId="0" borderId="0" xfId="1" applyFont="1"/>
    <xf numFmtId="165" fontId="0" fillId="0" borderId="0" xfId="2" applyFont="1" applyBorder="1"/>
    <xf numFmtId="0" fontId="3" fillId="0" borderId="0" xfId="1" applyFont="1" applyAlignment="1">
      <alignment horizontal="center" vertical="center"/>
    </xf>
    <xf numFmtId="0" fontId="1" fillId="0" borderId="0" xfId="1" applyAlignment="1">
      <alignment horizontal="center" vertical="center"/>
    </xf>
    <xf numFmtId="0" fontId="1" fillId="0" borderId="0" xfId="1" applyAlignment="1">
      <alignment vertical="center"/>
    </xf>
    <xf numFmtId="0" fontId="27" fillId="6" borderId="38" xfId="1" applyFont="1" applyFill="1" applyBorder="1" applyAlignment="1">
      <alignment horizontal="center" vertical="center"/>
    </xf>
    <xf numFmtId="0" fontId="1" fillId="0" borderId="41" xfId="1" applyBorder="1" applyAlignment="1">
      <alignment horizontal="center"/>
    </xf>
    <xf numFmtId="167" fontId="1" fillId="0" borderId="41" xfId="1" applyNumberFormat="1" applyBorder="1" applyAlignment="1">
      <alignment horizontal="center"/>
    </xf>
    <xf numFmtId="165" fontId="0" fillId="0" borderId="41" xfId="2" applyFont="1" applyBorder="1"/>
    <xf numFmtId="2" fontId="0" fillId="0" borderId="0" xfId="2" applyNumberFormat="1" applyFont="1" applyBorder="1"/>
    <xf numFmtId="0" fontId="1" fillId="0" borderId="38" xfId="1" applyBorder="1" applyAlignment="1">
      <alignment horizontal="center"/>
    </xf>
    <xf numFmtId="167" fontId="1" fillId="0" borderId="38" xfId="1" applyNumberFormat="1" applyBorder="1" applyAlignment="1">
      <alignment horizontal="center"/>
    </xf>
    <xf numFmtId="165" fontId="0" fillId="0" borderId="38" xfId="2" applyFont="1" applyBorder="1"/>
    <xf numFmtId="2" fontId="1" fillId="0" borderId="38" xfId="1" applyNumberFormat="1" applyBorder="1" applyAlignment="1">
      <alignment horizontal="center"/>
    </xf>
    <xf numFmtId="165" fontId="0" fillId="0" borderId="45" xfId="2" applyFont="1" applyBorder="1"/>
    <xf numFmtId="165" fontId="3" fillId="0" borderId="38" xfId="2" applyFont="1" applyBorder="1"/>
    <xf numFmtId="14" fontId="1" fillId="0" borderId="41" xfId="1" applyNumberFormat="1" applyBorder="1" applyAlignment="1">
      <alignment horizontal="center"/>
    </xf>
    <xf numFmtId="165" fontId="0" fillId="0" borderId="41" xfId="2" applyFont="1" applyBorder="1" applyAlignment="1">
      <alignment horizontal="center"/>
    </xf>
    <xf numFmtId="14" fontId="1" fillId="0" borderId="38" xfId="1" applyNumberFormat="1" applyBorder="1" applyAlignment="1">
      <alignment horizontal="center"/>
    </xf>
    <xf numFmtId="165" fontId="0" fillId="0" borderId="38" xfId="2" applyFont="1" applyBorder="1" applyAlignment="1">
      <alignment horizontal="center"/>
    </xf>
    <xf numFmtId="165" fontId="27" fillId="6" borderId="38" xfId="2" applyFont="1" applyFill="1" applyBorder="1" applyAlignment="1">
      <alignment horizontal="center" vertical="center"/>
    </xf>
    <xf numFmtId="0" fontId="3" fillId="6" borderId="38" xfId="1" applyFont="1" applyFill="1" applyBorder="1" applyAlignment="1">
      <alignment horizontal="center"/>
    </xf>
    <xf numFmtId="0" fontId="2" fillId="0" borderId="0" xfId="3"/>
    <xf numFmtId="0" fontId="3" fillId="0" borderId="0" xfId="3" applyFont="1" applyAlignment="1">
      <alignment horizontal="right"/>
    </xf>
    <xf numFmtId="15" fontId="2" fillId="0" borderId="0" xfId="3" applyNumberFormat="1" applyAlignment="1">
      <alignment horizontal="center" vertical="center"/>
    </xf>
    <xf numFmtId="0" fontId="15" fillId="0" borderId="46" xfId="0" applyFont="1" applyBorder="1" applyAlignment="1">
      <alignment vertical="center"/>
    </xf>
    <xf numFmtId="0" fontId="1" fillId="0" borderId="49" xfId="1" applyBorder="1"/>
    <xf numFmtId="165" fontId="0" fillId="0" borderId="49" xfId="2" applyFont="1" applyBorder="1"/>
    <xf numFmtId="0" fontId="1" fillId="0" borderId="50" xfId="1" applyBorder="1"/>
    <xf numFmtId="0" fontId="15" fillId="0" borderId="47" xfId="0" applyFont="1" applyBorder="1" applyAlignment="1">
      <alignment vertical="center"/>
    </xf>
    <xf numFmtId="0" fontId="1" fillId="0" borderId="51" xfId="1" applyBorder="1"/>
    <xf numFmtId="0" fontId="15" fillId="0" borderId="48" xfId="0" applyFont="1" applyBorder="1" applyAlignment="1">
      <alignment vertical="center"/>
    </xf>
    <xf numFmtId="0" fontId="1" fillId="0" borderId="52" xfId="1" applyBorder="1"/>
    <xf numFmtId="0" fontId="28" fillId="0" borderId="0" xfId="1" applyFont="1"/>
    <xf numFmtId="165" fontId="2" fillId="0" borderId="0" xfId="2" applyFont="1"/>
    <xf numFmtId="0" fontId="29" fillId="0" borderId="0" xfId="1" applyFont="1"/>
    <xf numFmtId="0" fontId="1" fillId="0" borderId="38" xfId="1" applyBorder="1"/>
    <xf numFmtId="167" fontId="1" fillId="0" borderId="0" xfId="1" applyNumberFormat="1" applyAlignment="1">
      <alignment horizontal="center"/>
    </xf>
    <xf numFmtId="0" fontId="25" fillId="0" borderId="0" xfId="1" applyFont="1" applyAlignment="1">
      <alignment horizontal="center"/>
    </xf>
    <xf numFmtId="0" fontId="25" fillId="0" borderId="0" xfId="1" applyFont="1" applyAlignment="1">
      <alignment horizontal="left"/>
    </xf>
    <xf numFmtId="14" fontId="1" fillId="0" borderId="0" xfId="1" applyNumberFormat="1" applyAlignment="1">
      <alignment horizontal="center"/>
    </xf>
    <xf numFmtId="164" fontId="0" fillId="0" borderId="38" xfId="2" applyNumberFormat="1" applyFont="1" applyBorder="1"/>
    <xf numFmtId="8" fontId="6" fillId="0" borderId="38" xfId="2" applyNumberFormat="1" applyFont="1" applyBorder="1"/>
    <xf numFmtId="14" fontId="34" fillId="0" borderId="41" xfId="3" applyNumberFormat="1" applyFont="1" applyBorder="1" applyAlignment="1">
      <alignment horizontal="center" vertical="center"/>
    </xf>
    <xf numFmtId="0" fontId="34" fillId="0" borderId="41" xfId="3" applyFont="1" applyBorder="1" applyAlignment="1">
      <alignment vertical="center"/>
    </xf>
    <xf numFmtId="164" fontId="34" fillId="0" borderId="41" xfId="4" applyNumberFormat="1" applyFont="1" applyBorder="1" applyAlignment="1">
      <alignment vertical="center"/>
    </xf>
    <xf numFmtId="14" fontId="34" fillId="0" borderId="38" xfId="3" applyNumberFormat="1" applyFont="1" applyBorder="1" applyAlignment="1">
      <alignment horizontal="center" vertical="center"/>
    </xf>
    <xf numFmtId="164" fontId="34" fillId="0" borderId="38" xfId="4" applyNumberFormat="1" applyFont="1" applyBorder="1" applyAlignment="1">
      <alignment vertical="center"/>
    </xf>
    <xf numFmtId="0" fontId="22" fillId="0" borderId="38" xfId="3" applyFont="1" applyBorder="1" applyAlignment="1">
      <alignment horizontal="center" vertical="center"/>
    </xf>
    <xf numFmtId="0" fontId="22" fillId="0" borderId="38" xfId="3" applyFont="1" applyBorder="1" applyAlignment="1">
      <alignment vertical="center"/>
    </xf>
    <xf numFmtId="168" fontId="15" fillId="0" borderId="38" xfId="3" applyNumberFormat="1" applyFont="1" applyBorder="1" applyAlignment="1">
      <alignment vertical="center"/>
    </xf>
    <xf numFmtId="0" fontId="34" fillId="0" borderId="0" xfId="0" applyFont="1"/>
    <xf numFmtId="0" fontId="34" fillId="0" borderId="0" xfId="0" applyFont="1" applyAlignment="1">
      <alignment horizontal="center" vertical="center"/>
    </xf>
    <xf numFmtId="0" fontId="34" fillId="0" borderId="38" xfId="0" applyFont="1" applyBorder="1" applyAlignment="1">
      <alignment horizontal="center" vertical="center"/>
    </xf>
    <xf numFmtId="0" fontId="15" fillId="0" borderId="0" xfId="0" applyFont="1" applyAlignment="1">
      <alignment horizontal="right"/>
    </xf>
    <xf numFmtId="0" fontId="34" fillId="0" borderId="0" xfId="3" applyFont="1"/>
    <xf numFmtId="0" fontId="0" fillId="0" borderId="0" xfId="0" applyAlignment="1">
      <alignment horizontal="center"/>
    </xf>
    <xf numFmtId="0" fontId="20" fillId="0" borderId="0" xfId="0" applyFont="1" applyAlignment="1">
      <alignment horizontal="center" vertical="center"/>
    </xf>
    <xf numFmtId="0" fontId="2" fillId="0" borderId="0" xfId="0" applyFont="1" applyAlignment="1">
      <alignment horizontal="center"/>
    </xf>
    <xf numFmtId="0" fontId="6" fillId="0" borderId="0" xfId="0" applyFont="1" applyAlignment="1">
      <alignment horizontal="right"/>
    </xf>
    <xf numFmtId="14" fontId="0" fillId="0" borderId="0" xfId="0" applyNumberFormat="1"/>
    <xf numFmtId="0" fontId="2" fillId="0" borderId="42" xfId="0" applyFont="1" applyBorder="1" applyAlignment="1">
      <alignment vertical="center"/>
    </xf>
    <xf numFmtId="169" fontId="21" fillId="0" borderId="44" xfId="0" applyNumberFormat="1" applyFont="1" applyBorder="1" applyAlignment="1">
      <alignment vertical="center"/>
    </xf>
    <xf numFmtId="0" fontId="6" fillId="0" borderId="43" xfId="0" applyFont="1" applyBorder="1" applyAlignment="1">
      <alignment vertical="center"/>
    </xf>
    <xf numFmtId="0" fontId="15" fillId="5" borderId="41" xfId="3" applyFont="1" applyFill="1" applyBorder="1" applyAlignment="1">
      <alignment horizontal="center" vertical="center" wrapText="1"/>
    </xf>
    <xf numFmtId="0" fontId="15" fillId="5" borderId="41" xfId="3" applyFont="1" applyFill="1" applyBorder="1" applyAlignment="1">
      <alignment horizontal="center" vertical="center"/>
    </xf>
    <xf numFmtId="0" fontId="2" fillId="0" borderId="47" xfId="3" applyBorder="1"/>
    <xf numFmtId="0" fontId="2" fillId="0" borderId="51" xfId="3" applyBorder="1"/>
    <xf numFmtId="0" fontId="2" fillId="0" borderId="48" xfId="3" applyBorder="1"/>
    <xf numFmtId="0" fontId="2" fillId="0" borderId="27" xfId="3" applyBorder="1"/>
    <xf numFmtId="0" fontId="2" fillId="0" borderId="52" xfId="3" applyBorder="1"/>
    <xf numFmtId="0" fontId="0" fillId="0" borderId="46" xfId="0" applyBorder="1"/>
    <xf numFmtId="0" fontId="0" fillId="0" borderId="47" xfId="0" applyBorder="1"/>
    <xf numFmtId="0" fontId="34" fillId="0" borderId="38" xfId="0" applyFont="1" applyBorder="1" applyAlignment="1">
      <alignment horizontal="center" vertical="center"/>
    </xf>
    <xf numFmtId="0" fontId="0" fillId="0" borderId="48" xfId="0" applyBorder="1"/>
    <xf numFmtId="164" fontId="2" fillId="0" borderId="0" xfId="3" applyNumberFormat="1"/>
    <xf numFmtId="0" fontId="34" fillId="0" borderId="38" xfId="0" applyFont="1" applyBorder="1" applyAlignment="1">
      <alignment horizontal="center" vertical="center"/>
    </xf>
    <xf numFmtId="0" fontId="15" fillId="0" borderId="38" xfId="0" applyFont="1" applyBorder="1" applyAlignment="1">
      <alignment horizontal="left" vertical="center"/>
    </xf>
    <xf numFmtId="0" fontId="2" fillId="0" borderId="38" xfId="0" applyFont="1" applyBorder="1" applyAlignment="1">
      <alignment horizontal="center" vertical="center"/>
    </xf>
    <xf numFmtId="0" fontId="6" fillId="5" borderId="43" xfId="0" applyFont="1" applyFill="1" applyBorder="1" applyAlignment="1">
      <alignment horizontal="center" vertical="center"/>
    </xf>
    <xf numFmtId="0" fontId="6" fillId="5" borderId="44" xfId="0" applyFont="1" applyFill="1" applyBorder="1" applyAlignment="1">
      <alignment horizontal="center" vertical="center"/>
    </xf>
    <xf numFmtId="164" fontId="22" fillId="0" borderId="46" xfId="0" applyNumberFormat="1" applyFont="1" applyBorder="1" applyAlignment="1">
      <alignment horizontal="center" vertical="center"/>
    </xf>
    <xf numFmtId="164" fontId="22" fillId="0" borderId="50" xfId="0" applyNumberFormat="1" applyFont="1" applyBorder="1" applyAlignment="1">
      <alignment horizontal="center" vertical="center"/>
    </xf>
    <xf numFmtId="164" fontId="22" fillId="0" borderId="48" xfId="0" applyNumberFormat="1" applyFont="1" applyBorder="1" applyAlignment="1">
      <alignment horizontal="center" vertical="center"/>
    </xf>
    <xf numFmtId="164" fontId="22" fillId="0" borderId="52" xfId="0" applyNumberFormat="1" applyFont="1" applyBorder="1" applyAlignment="1">
      <alignment horizontal="center" vertical="center"/>
    </xf>
    <xf numFmtId="0" fontId="15" fillId="5" borderId="38" xfId="0" applyFont="1" applyFill="1" applyBorder="1" applyAlignment="1">
      <alignment horizontal="center" vertical="center"/>
    </xf>
    <xf numFmtId="0" fontId="16" fillId="4" borderId="33" xfId="0" applyFont="1" applyFill="1" applyBorder="1" applyAlignment="1">
      <alignment horizontal="center" vertical="center"/>
    </xf>
    <xf numFmtId="0" fontId="16" fillId="4" borderId="0" xfId="0" applyFont="1" applyFill="1" applyAlignment="1">
      <alignment horizontal="center" vertical="center"/>
    </xf>
    <xf numFmtId="164" fontId="22" fillId="0" borderId="38" xfId="0" applyNumberFormat="1" applyFont="1" applyBorder="1" applyAlignment="1">
      <alignment horizontal="center" vertical="center"/>
    </xf>
    <xf numFmtId="164" fontId="22" fillId="0" borderId="45" xfId="0" applyNumberFormat="1" applyFont="1" applyBorder="1" applyAlignment="1">
      <alignment horizontal="center" vertical="center"/>
    </xf>
    <xf numFmtId="0" fontId="23" fillId="0" borderId="38" xfId="0" applyFont="1" applyBorder="1" applyAlignment="1">
      <alignment horizontal="center" vertical="center" wrapText="1"/>
    </xf>
    <xf numFmtId="164" fontId="19" fillId="0" borderId="38" xfId="0" applyNumberFormat="1" applyFont="1" applyBorder="1" applyAlignment="1">
      <alignment horizontal="center" vertical="center"/>
    </xf>
    <xf numFmtId="0" fontId="15" fillId="5" borderId="38" xfId="0" applyFont="1" applyFill="1" applyBorder="1" applyAlignment="1">
      <alignment horizontal="center" vertical="center" wrapText="1"/>
    </xf>
    <xf numFmtId="0" fontId="16" fillId="4" borderId="34" xfId="0" applyFont="1" applyFill="1" applyBorder="1" applyAlignment="1">
      <alignment horizontal="center" vertical="center"/>
    </xf>
    <xf numFmtId="0" fontId="15" fillId="0" borderId="38" xfId="0" applyFont="1" applyBorder="1" applyAlignment="1">
      <alignment horizontal="left" vertical="center" wrapText="1"/>
    </xf>
    <xf numFmtId="0" fontId="16" fillId="4" borderId="31" xfId="0" applyFont="1" applyFill="1" applyBorder="1" applyAlignment="1">
      <alignment horizontal="center" vertical="center"/>
    </xf>
    <xf numFmtId="0" fontId="16" fillId="4" borderId="39" xfId="0" applyFont="1" applyFill="1" applyBorder="1" applyAlignment="1">
      <alignment horizontal="center" vertical="center"/>
    </xf>
    <xf numFmtId="0" fontId="16" fillId="4" borderId="32" xfId="0" applyFont="1" applyFill="1" applyBorder="1" applyAlignment="1">
      <alignment horizontal="center" vertical="center"/>
    </xf>
    <xf numFmtId="0" fontId="15" fillId="0" borderId="38" xfId="0" applyFont="1" applyBorder="1" applyAlignment="1">
      <alignment horizontal="center" vertical="center" wrapText="1"/>
    </xf>
    <xf numFmtId="0" fontId="20" fillId="0" borderId="38" xfId="0" applyFont="1" applyBorder="1" applyAlignment="1">
      <alignment horizontal="center" vertical="center"/>
    </xf>
    <xf numFmtId="0" fontId="6" fillId="0" borderId="0" xfId="0" applyFont="1" applyAlignment="1">
      <alignment horizontal="right"/>
    </xf>
    <xf numFmtId="0" fontId="15" fillId="0" borderId="43" xfId="0" applyFont="1" applyBorder="1" applyAlignment="1">
      <alignment horizontal="center" vertical="center"/>
    </xf>
    <xf numFmtId="0" fontId="15" fillId="0" borderId="42" xfId="0" applyFont="1" applyBorder="1" applyAlignment="1">
      <alignment horizontal="center" vertical="center"/>
    </xf>
    <xf numFmtId="0" fontId="15" fillId="0" borderId="44" xfId="0" applyFont="1" applyBorder="1" applyAlignment="1">
      <alignment horizontal="center" vertical="center"/>
    </xf>
    <xf numFmtId="0" fontId="0" fillId="0" borderId="38" xfId="0" applyBorder="1" applyAlignment="1">
      <alignment horizontal="center"/>
    </xf>
    <xf numFmtId="0" fontId="6" fillId="5" borderId="46" xfId="0" applyFont="1" applyFill="1" applyBorder="1" applyAlignment="1">
      <alignment horizontal="center" vertical="center"/>
    </xf>
    <xf numFmtId="0" fontId="6" fillId="5" borderId="49" xfId="0" applyFont="1" applyFill="1" applyBorder="1" applyAlignment="1">
      <alignment horizontal="center" vertical="center"/>
    </xf>
    <xf numFmtId="0" fontId="6" fillId="5" borderId="50" xfId="0" applyFont="1" applyFill="1" applyBorder="1" applyAlignment="1">
      <alignment horizontal="center" vertical="center"/>
    </xf>
    <xf numFmtId="164" fontId="21" fillId="0" borderId="38" xfId="0" applyNumberFormat="1" applyFont="1" applyBorder="1" applyAlignment="1">
      <alignment horizontal="center" vertical="center"/>
    </xf>
    <xf numFmtId="0" fontId="24" fillId="5" borderId="43" xfId="0" applyFont="1" applyFill="1" applyBorder="1" applyAlignment="1">
      <alignment horizontal="center" vertical="center" wrapText="1"/>
    </xf>
    <xf numFmtId="0" fontId="24" fillId="5" borderId="44" xfId="0" applyFont="1" applyFill="1" applyBorder="1" applyAlignment="1">
      <alignment horizontal="center" vertical="center"/>
    </xf>
    <xf numFmtId="164" fontId="24" fillId="0" borderId="38" xfId="0" applyNumberFormat="1" applyFont="1" applyBorder="1" applyAlignment="1">
      <alignment horizontal="center" vertical="center" wrapText="1"/>
    </xf>
    <xf numFmtId="164" fontId="2" fillId="0" borderId="38" xfId="0" applyNumberFormat="1" applyFont="1" applyBorder="1" applyAlignment="1">
      <alignment horizontal="center" vertical="center"/>
    </xf>
    <xf numFmtId="0" fontId="17" fillId="4" borderId="0" xfId="0" applyFont="1" applyFill="1" applyAlignment="1">
      <alignment horizontal="center" vertical="center"/>
    </xf>
    <xf numFmtId="0" fontId="22" fillId="0" borderId="43" xfId="0" applyFont="1" applyBorder="1" applyAlignment="1">
      <alignment horizontal="center" vertical="center"/>
    </xf>
    <xf numFmtId="0" fontId="22" fillId="0" borderId="42" xfId="0" applyFont="1" applyBorder="1" applyAlignment="1">
      <alignment horizontal="center" vertical="center"/>
    </xf>
    <xf numFmtId="0" fontId="22" fillId="0" borderId="44" xfId="0" applyFont="1" applyBorder="1" applyAlignment="1">
      <alignment horizontal="center" vertical="center"/>
    </xf>
    <xf numFmtId="0" fontId="15" fillId="7" borderId="43" xfId="0" applyFont="1" applyFill="1" applyBorder="1" applyAlignment="1">
      <alignment horizontal="center" vertical="center"/>
    </xf>
    <xf numFmtId="0" fontId="15" fillId="7" borderId="42" xfId="0" applyFont="1" applyFill="1" applyBorder="1" applyAlignment="1">
      <alignment horizontal="center" vertical="center"/>
    </xf>
    <xf numFmtId="0" fontId="15" fillId="7" borderId="44" xfId="0" applyFont="1" applyFill="1" applyBorder="1" applyAlignment="1">
      <alignment horizontal="center" vertical="center"/>
    </xf>
    <xf numFmtId="0" fontId="0" fillId="0" borderId="46"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47" xfId="0" applyBorder="1" applyAlignment="1">
      <alignment horizontal="center"/>
    </xf>
    <xf numFmtId="0" fontId="0" fillId="0" borderId="0" xfId="0" applyAlignment="1">
      <alignment horizontal="center"/>
    </xf>
    <xf numFmtId="0" fontId="0" fillId="0" borderId="51" xfId="0" applyBorder="1" applyAlignment="1">
      <alignment horizontal="center"/>
    </xf>
    <xf numFmtId="0" fontId="0" fillId="0" borderId="48" xfId="0" applyBorder="1" applyAlignment="1">
      <alignment horizontal="center"/>
    </xf>
    <xf numFmtId="0" fontId="0" fillId="0" borderId="27" xfId="0" applyBorder="1" applyAlignment="1">
      <alignment horizontal="center"/>
    </xf>
    <xf numFmtId="0" fontId="0" fillId="0" borderId="52" xfId="0" applyBorder="1" applyAlignment="1">
      <alignment horizontal="center"/>
    </xf>
    <xf numFmtId="0" fontId="21" fillId="0" borderId="38" xfId="0" applyFont="1" applyBorder="1" applyAlignment="1">
      <alignment horizontal="center" vertical="center"/>
    </xf>
    <xf numFmtId="0" fontId="6" fillId="5" borderId="6"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5" xfId="0" applyFont="1" applyFill="1" applyBorder="1" applyAlignment="1">
      <alignment horizontal="center" vertical="center"/>
    </xf>
    <xf numFmtId="0" fontId="17" fillId="4" borderId="6" xfId="0" applyFont="1" applyFill="1" applyBorder="1" applyAlignment="1">
      <alignment horizontal="center" vertical="center"/>
    </xf>
    <xf numFmtId="0" fontId="17" fillId="4" borderId="7" xfId="0" applyFont="1" applyFill="1" applyBorder="1" applyAlignment="1">
      <alignment horizontal="center" vertical="center"/>
    </xf>
    <xf numFmtId="0" fontId="17" fillId="4" borderId="8" xfId="0" applyFont="1" applyFill="1" applyBorder="1" applyAlignment="1">
      <alignment horizontal="center" vertical="center"/>
    </xf>
    <xf numFmtId="0" fontId="19" fillId="0" borderId="6" xfId="0" applyFont="1" applyBorder="1" applyAlignment="1">
      <alignment horizontal="left" vertical="center"/>
    </xf>
    <xf numFmtId="0" fontId="19" fillId="0" borderId="7" xfId="0" applyFont="1" applyBorder="1" applyAlignment="1">
      <alignment horizontal="left" vertical="center"/>
    </xf>
    <xf numFmtId="0" fontId="19" fillId="0" borderId="8" xfId="0" applyFont="1" applyBorder="1" applyAlignment="1">
      <alignment horizontal="left" vertical="center"/>
    </xf>
    <xf numFmtId="0" fontId="6" fillId="5" borderId="7" xfId="0" applyFont="1" applyFill="1" applyBorder="1" applyAlignment="1">
      <alignment horizontal="center" vertical="center"/>
    </xf>
    <xf numFmtId="164" fontId="19" fillId="0" borderId="5" xfId="0" applyNumberFormat="1" applyFont="1" applyBorder="1" applyAlignment="1">
      <alignment horizontal="center" vertical="center"/>
    </xf>
    <xf numFmtId="164" fontId="19" fillId="0" borderId="6" xfId="0" applyNumberFormat="1" applyFont="1" applyBorder="1" applyAlignment="1">
      <alignment horizontal="center" vertical="center"/>
    </xf>
    <xf numFmtId="164" fontId="19" fillId="0" borderId="8" xfId="0" applyNumberFormat="1" applyFont="1" applyBorder="1" applyAlignment="1">
      <alignment horizontal="center" vertic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4"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6" fillId="0" borderId="0" xfId="0" applyFont="1" applyAlignment="1">
      <alignment horizontal="center" vertical="center"/>
    </xf>
    <xf numFmtId="0" fontId="6" fillId="7" borderId="6" xfId="0" applyFont="1" applyFill="1" applyBorder="1" applyAlignment="1">
      <alignment horizontal="center" vertical="center"/>
    </xf>
    <xf numFmtId="0" fontId="6" fillId="7" borderId="7" xfId="0" applyFont="1" applyFill="1" applyBorder="1" applyAlignment="1">
      <alignment horizontal="center" vertical="center"/>
    </xf>
    <xf numFmtId="0" fontId="6" fillId="7" borderId="8" xfId="0" applyFont="1" applyFill="1" applyBorder="1" applyAlignment="1">
      <alignment horizontal="center" vertical="center"/>
    </xf>
    <xf numFmtId="0" fontId="6" fillId="7" borderId="5" xfId="0" applyFont="1" applyFill="1" applyBorder="1" applyAlignment="1">
      <alignment horizontal="center" vertical="center"/>
    </xf>
    <xf numFmtId="0" fontId="16" fillId="4" borderId="5" xfId="0" applyFont="1" applyFill="1" applyBorder="1" applyAlignment="1">
      <alignment horizontal="center" vertical="center"/>
    </xf>
    <xf numFmtId="0" fontId="17" fillId="4" borderId="5" xfId="0" applyFont="1" applyFill="1" applyBorder="1" applyAlignment="1">
      <alignment horizontal="center"/>
    </xf>
    <xf numFmtId="0" fontId="0" fillId="0" borderId="5" xfId="0" applyBorder="1" applyAlignment="1">
      <alignment horizontal="center" vertical="center"/>
    </xf>
    <xf numFmtId="0" fontId="2" fillId="0" borderId="5" xfId="0" applyFont="1" applyBorder="1" applyAlignment="1">
      <alignment horizontal="center" vertical="center"/>
    </xf>
    <xf numFmtId="0" fontId="21" fillId="0" borderId="6" xfId="0" applyFont="1" applyBorder="1" applyAlignment="1">
      <alignment horizontal="center"/>
    </xf>
    <xf numFmtId="0" fontId="21" fillId="0" borderId="7" xfId="0" applyFont="1" applyBorder="1" applyAlignment="1">
      <alignment horizontal="center"/>
    </xf>
    <xf numFmtId="0" fontId="21" fillId="0" borderId="8" xfId="0" applyFont="1" applyBorder="1" applyAlignment="1">
      <alignment horizontal="center"/>
    </xf>
    <xf numFmtId="8" fontId="6" fillId="5" borderId="6" xfId="0" applyNumberFormat="1" applyFont="1" applyFill="1" applyBorder="1" applyAlignment="1">
      <alignment horizontal="center" vertical="center"/>
    </xf>
    <xf numFmtId="8" fontId="6" fillId="5" borderId="8" xfId="0" applyNumberFormat="1" applyFont="1" applyFill="1" applyBorder="1" applyAlignment="1">
      <alignment horizontal="center" vertical="center"/>
    </xf>
    <xf numFmtId="164" fontId="19" fillId="5" borderId="5" xfId="0" applyNumberFormat="1" applyFont="1" applyFill="1" applyBorder="1" applyAlignment="1">
      <alignment horizontal="center" vertical="center"/>
    </xf>
    <xf numFmtId="0" fontId="0" fillId="0" borderId="28" xfId="0" applyBorder="1" applyAlignment="1">
      <alignment horizontal="center"/>
    </xf>
    <xf numFmtId="0" fontId="0" fillId="0" borderId="29" xfId="0" applyBorder="1" applyAlignment="1">
      <alignment horizontal="center"/>
    </xf>
    <xf numFmtId="0" fontId="0" fillId="0" borderId="30" xfId="0" applyBorder="1" applyAlignment="1">
      <alignment horizontal="center"/>
    </xf>
    <xf numFmtId="0" fontId="0" fillId="0" borderId="39" xfId="0" applyBorder="1" applyAlignment="1">
      <alignment horizontal="center"/>
    </xf>
    <xf numFmtId="0" fontId="0" fillId="0" borderId="40" xfId="0" applyBorder="1" applyAlignment="1">
      <alignment horizontal="center"/>
    </xf>
    <xf numFmtId="0" fontId="32" fillId="0" borderId="0" xfId="1" applyFont="1" applyAlignment="1">
      <alignment horizontal="center"/>
    </xf>
    <xf numFmtId="166" fontId="30" fillId="6" borderId="38" xfId="1" applyNumberFormat="1" applyFont="1" applyFill="1" applyBorder="1" applyAlignment="1">
      <alignment horizontal="center" vertical="center" wrapText="1"/>
    </xf>
    <xf numFmtId="0" fontId="1" fillId="0" borderId="49" xfId="1" applyBorder="1" applyAlignment="1">
      <alignment horizontal="center"/>
    </xf>
    <xf numFmtId="0" fontId="31" fillId="0" borderId="46" xfId="1" applyFont="1" applyBorder="1" applyAlignment="1">
      <alignment horizontal="center" vertical="center" wrapText="1"/>
    </xf>
    <xf numFmtId="0" fontId="31" fillId="0" borderId="49" xfId="1" applyFont="1" applyBorder="1" applyAlignment="1">
      <alignment horizontal="center" vertical="center" wrapText="1"/>
    </xf>
    <xf numFmtId="0" fontId="31" fillId="0" borderId="50" xfId="1" applyFont="1" applyBorder="1" applyAlignment="1">
      <alignment horizontal="center" vertical="center" wrapText="1"/>
    </xf>
    <xf numFmtId="0" fontId="31" fillId="0" borderId="47" xfId="1" applyFont="1" applyBorder="1" applyAlignment="1">
      <alignment horizontal="center" vertical="center" wrapText="1"/>
    </xf>
    <xf numFmtId="0" fontId="31" fillId="0" borderId="0" xfId="1" applyFont="1" applyAlignment="1">
      <alignment horizontal="center" vertical="center" wrapText="1"/>
    </xf>
    <xf numFmtId="0" fontId="31" fillId="0" borderId="51" xfId="1" applyFont="1" applyBorder="1" applyAlignment="1">
      <alignment horizontal="center" vertical="center" wrapText="1"/>
    </xf>
    <xf numFmtId="0" fontId="31" fillId="0" borderId="48" xfId="1" applyFont="1" applyBorder="1" applyAlignment="1">
      <alignment horizontal="center" vertical="center" wrapText="1"/>
    </xf>
    <xf numFmtId="0" fontId="31" fillId="0" borderId="27" xfId="1" applyFont="1" applyBorder="1" applyAlignment="1">
      <alignment horizontal="center" vertical="center" wrapText="1"/>
    </xf>
    <xf numFmtId="0" fontId="31" fillId="0" borderId="52" xfId="1" applyFont="1" applyBorder="1" applyAlignment="1">
      <alignment horizontal="center" vertical="center" wrapText="1"/>
    </xf>
    <xf numFmtId="0" fontId="3" fillId="6" borderId="38" xfId="1" applyFont="1" applyFill="1" applyBorder="1" applyAlignment="1">
      <alignment horizontal="center"/>
    </xf>
    <xf numFmtId="0" fontId="27" fillId="6" borderId="43" xfId="1" applyFont="1" applyFill="1" applyBorder="1" applyAlignment="1">
      <alignment horizontal="center" vertical="center"/>
    </xf>
    <xf numFmtId="0" fontId="27" fillId="6" borderId="42" xfId="1" applyFont="1" applyFill="1" applyBorder="1" applyAlignment="1">
      <alignment horizontal="center" vertical="center"/>
    </xf>
    <xf numFmtId="0" fontId="27" fillId="6" borderId="44" xfId="1" applyFont="1" applyFill="1" applyBorder="1" applyAlignment="1">
      <alignment horizontal="center" vertical="center"/>
    </xf>
    <xf numFmtId="0" fontId="1" fillId="0" borderId="43" xfId="1" applyBorder="1" applyAlignment="1">
      <alignment horizontal="center"/>
    </xf>
    <xf numFmtId="0" fontId="1" fillId="0" borderId="42" xfId="1" applyBorder="1" applyAlignment="1">
      <alignment horizontal="center"/>
    </xf>
    <xf numFmtId="0" fontId="1" fillId="0" borderId="44" xfId="1" applyBorder="1" applyAlignment="1">
      <alignment horizontal="center"/>
    </xf>
    <xf numFmtId="0" fontId="16" fillId="4" borderId="53" xfId="0" applyFont="1" applyFill="1" applyBorder="1" applyAlignment="1">
      <alignment horizontal="center" vertical="center"/>
    </xf>
    <xf numFmtId="164" fontId="15" fillId="7" borderId="38" xfId="0" applyNumberFormat="1" applyFont="1" applyFill="1" applyBorder="1" applyAlignment="1">
      <alignment horizontal="center" vertical="center"/>
    </xf>
    <xf numFmtId="0" fontId="15" fillId="7" borderId="38" xfId="0" applyFont="1" applyFill="1" applyBorder="1" applyAlignment="1">
      <alignment horizontal="center" vertical="center"/>
    </xf>
    <xf numFmtId="8" fontId="15" fillId="7" borderId="38" xfId="0" applyNumberFormat="1" applyFont="1" applyFill="1" applyBorder="1" applyAlignment="1">
      <alignment horizontal="center" vertical="center"/>
    </xf>
    <xf numFmtId="0" fontId="17" fillId="4" borderId="33" xfId="0" applyFont="1" applyFill="1" applyBorder="1" applyAlignment="1">
      <alignment horizontal="center" vertical="center"/>
    </xf>
    <xf numFmtId="0" fontId="21" fillId="0" borderId="46" xfId="0" applyFont="1" applyBorder="1" applyAlignment="1">
      <alignment horizontal="center"/>
    </xf>
    <xf numFmtId="0" fontId="21" fillId="0" borderId="49" xfId="0" applyFont="1" applyBorder="1" applyAlignment="1">
      <alignment horizontal="center"/>
    </xf>
    <xf numFmtId="0" fontId="21" fillId="0" borderId="50" xfId="0" applyFont="1" applyBorder="1" applyAlignment="1">
      <alignment horizontal="center"/>
    </xf>
    <xf numFmtId="0" fontId="21" fillId="0" borderId="47" xfId="0" applyFont="1" applyBorder="1" applyAlignment="1">
      <alignment horizontal="center"/>
    </xf>
    <xf numFmtId="0" fontId="21" fillId="0" borderId="0" xfId="0" applyFont="1" applyAlignment="1">
      <alignment horizontal="center"/>
    </xf>
    <xf numFmtId="0" fontId="21" fillId="0" borderId="51" xfId="0" applyFont="1" applyBorder="1" applyAlignment="1">
      <alignment horizontal="center"/>
    </xf>
    <xf numFmtId="0" fontId="21" fillId="0" borderId="48" xfId="0" applyFont="1" applyBorder="1" applyAlignment="1">
      <alignment horizontal="center"/>
    </xf>
    <xf numFmtId="0" fontId="21" fillId="0" borderId="27" xfId="0" applyFont="1" applyBorder="1" applyAlignment="1">
      <alignment horizontal="center"/>
    </xf>
    <xf numFmtId="0" fontId="21" fillId="0" borderId="52" xfId="0" applyFont="1" applyBorder="1" applyAlignment="1">
      <alignment horizontal="center"/>
    </xf>
    <xf numFmtId="0" fontId="34" fillId="0" borderId="38" xfId="0" applyFont="1" applyBorder="1" applyAlignment="1">
      <alignment horizontal="center" vertical="center"/>
    </xf>
    <xf numFmtId="0" fontId="33" fillId="0" borderId="43" xfId="3" applyFont="1" applyBorder="1" applyAlignment="1">
      <alignment horizontal="center"/>
    </xf>
    <xf numFmtId="0" fontId="33" fillId="0" borderId="42" xfId="3" applyFont="1" applyBorder="1" applyAlignment="1">
      <alignment horizontal="center"/>
    </xf>
    <xf numFmtId="0" fontId="15" fillId="0" borderId="43" xfId="0" applyFont="1" applyBorder="1" applyAlignment="1">
      <alignment horizontal="left" vertical="center"/>
    </xf>
    <xf numFmtId="0" fontId="15" fillId="0" borderId="44" xfId="0" applyFont="1" applyBorder="1" applyAlignment="1">
      <alignment horizontal="left" vertical="center"/>
    </xf>
    <xf numFmtId="0" fontId="34" fillId="0" borderId="43" xfId="0" applyFont="1" applyBorder="1" applyAlignment="1">
      <alignment horizontal="center" vertical="center"/>
    </xf>
    <xf numFmtId="0" fontId="34" fillId="0" borderId="42" xfId="0" applyFont="1" applyBorder="1" applyAlignment="1">
      <alignment horizontal="center" vertical="center"/>
    </xf>
    <xf numFmtId="0" fontId="34" fillId="0" borderId="44" xfId="0" applyFont="1" applyBorder="1" applyAlignment="1">
      <alignment horizontal="center" vertical="center"/>
    </xf>
    <xf numFmtId="0" fontId="16" fillId="4" borderId="33" xfId="0" applyFont="1" applyFill="1" applyBorder="1" applyAlignment="1">
      <alignment horizontal="center"/>
    </xf>
    <xf numFmtId="0" fontId="16" fillId="4" borderId="0" xfId="0" applyFont="1" applyFill="1" applyAlignment="1">
      <alignment horizontal="center"/>
    </xf>
    <xf numFmtId="0" fontId="20" fillId="0" borderId="46" xfId="0" applyFont="1" applyBorder="1" applyAlignment="1">
      <alignment horizontal="center" vertical="center"/>
    </xf>
    <xf numFmtId="0" fontId="20" fillId="0" borderId="49" xfId="0" applyFont="1" applyBorder="1" applyAlignment="1">
      <alignment horizontal="center" vertical="center"/>
    </xf>
    <xf numFmtId="0" fontId="20" fillId="0" borderId="50" xfId="0" applyFont="1" applyBorder="1" applyAlignment="1">
      <alignment horizontal="center" vertical="center"/>
    </xf>
    <xf numFmtId="0" fontId="20" fillId="0" borderId="47" xfId="0" applyFont="1" applyBorder="1" applyAlignment="1">
      <alignment horizontal="center" vertical="center"/>
    </xf>
    <xf numFmtId="0" fontId="20" fillId="0" borderId="0" xfId="0" applyFont="1" applyAlignment="1">
      <alignment horizontal="center" vertical="center"/>
    </xf>
    <xf numFmtId="0" fontId="20" fillId="0" borderId="51" xfId="0" applyFont="1" applyBorder="1" applyAlignment="1">
      <alignment horizontal="center" vertical="center"/>
    </xf>
    <xf numFmtId="0" fontId="20" fillId="0" borderId="48" xfId="0" applyFont="1" applyBorder="1" applyAlignment="1">
      <alignment horizontal="center" vertical="center"/>
    </xf>
    <xf numFmtId="0" fontId="20" fillId="0" borderId="27" xfId="0" applyFont="1" applyBorder="1" applyAlignment="1">
      <alignment horizontal="center" vertical="center"/>
    </xf>
    <xf numFmtId="0" fontId="6" fillId="0" borderId="43" xfId="0" applyFont="1" applyBorder="1" applyAlignment="1">
      <alignment horizontal="center" vertical="center"/>
    </xf>
    <xf numFmtId="0" fontId="6" fillId="0" borderId="42" xfId="0" applyFont="1" applyBorder="1" applyAlignment="1">
      <alignment horizontal="center" vertical="center"/>
    </xf>
    <xf numFmtId="0" fontId="15" fillId="0" borderId="38"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0" fontId="9" fillId="0" borderId="13" xfId="0" applyFont="1" applyBorder="1" applyAlignment="1">
      <alignment horizontal="center" vertical="center"/>
    </xf>
    <xf numFmtId="0" fontId="9" fillId="0" borderId="20" xfId="0" applyFont="1" applyBorder="1" applyAlignment="1">
      <alignment horizontal="center" vertical="center" wrapText="1"/>
    </xf>
    <xf numFmtId="0" fontId="9" fillId="0" borderId="19"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6" xfId="0" applyFont="1" applyBorder="1" applyAlignment="1">
      <alignment horizontal="center" vertical="center"/>
    </xf>
    <xf numFmtId="0" fontId="9" fillId="0" borderId="12" xfId="0" applyFont="1" applyBorder="1" applyAlignment="1">
      <alignment horizontal="center" vertical="center"/>
    </xf>
    <xf numFmtId="0" fontId="9" fillId="0" borderId="16"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7" xfId="0" applyFont="1" applyBorder="1" applyAlignment="1">
      <alignment horizontal="center" vertical="center" wrapText="1"/>
    </xf>
    <xf numFmtId="0" fontId="11" fillId="3" borderId="10" xfId="0" applyFont="1" applyFill="1" applyBorder="1" applyAlignment="1">
      <alignment horizontal="center" vertical="center" wrapText="1"/>
    </xf>
    <xf numFmtId="0" fontId="11" fillId="3" borderId="11" xfId="0" applyFont="1" applyFill="1" applyBorder="1" applyAlignment="1">
      <alignment horizontal="center" vertical="center" wrapText="1"/>
    </xf>
    <xf numFmtId="0" fontId="13" fillId="0" borderId="16" xfId="0" applyFont="1" applyBorder="1" applyAlignment="1">
      <alignment horizontal="center" vertical="center"/>
    </xf>
    <xf numFmtId="0" fontId="13" fillId="0" borderId="12" xfId="0" applyFont="1" applyBorder="1" applyAlignment="1">
      <alignment horizontal="center" vertical="center"/>
    </xf>
    <xf numFmtId="0" fontId="13" fillId="0" borderId="17" xfId="0" applyFont="1" applyBorder="1" applyAlignment="1">
      <alignment horizontal="center" vertical="center"/>
    </xf>
    <xf numFmtId="0" fontId="7" fillId="0" borderId="16" xfId="0" applyFont="1" applyBorder="1"/>
    <xf numFmtId="0" fontId="7" fillId="0" borderId="12" xfId="0" applyFont="1" applyBorder="1"/>
    <xf numFmtId="0" fontId="7" fillId="0" borderId="16" xfId="0" applyFont="1" applyBorder="1" applyAlignment="1">
      <alignment wrapText="1"/>
    </xf>
    <xf numFmtId="0" fontId="7" fillId="0" borderId="12" xfId="0" applyFont="1" applyBorder="1" applyAlignment="1">
      <alignment wrapText="1"/>
    </xf>
    <xf numFmtId="0" fontId="7" fillId="0" borderId="16" xfId="0" applyFont="1" applyBorder="1" applyAlignment="1">
      <alignment vertical="center" wrapText="1"/>
    </xf>
    <xf numFmtId="0" fontId="7" fillId="0" borderId="17" xfId="0" applyFont="1" applyBorder="1" applyAlignment="1">
      <alignment vertical="center" wrapText="1"/>
    </xf>
    <xf numFmtId="0" fontId="7" fillId="0" borderId="12" xfId="0" applyFont="1" applyBorder="1" applyAlignment="1">
      <alignment vertical="center" wrapText="1"/>
    </xf>
    <xf numFmtId="0" fontId="11" fillId="3" borderId="9" xfId="0" applyFont="1" applyFill="1" applyBorder="1" applyAlignment="1">
      <alignment horizontal="center" vertical="center" wrapText="1"/>
    </xf>
  </cellXfs>
  <cellStyles count="5">
    <cellStyle name="Millares 2" xfId="2" xr:uid="{1CBE7126-7524-4E53-8E5F-E7E4EB4FA00B}"/>
    <cellStyle name="Moneda 2" xfId="4" xr:uid="{8A58C9DF-00CA-4EB1-8359-4FFF935C4D1F}"/>
    <cellStyle name="Normal" xfId="0" builtinId="0"/>
    <cellStyle name="Normal 2" xfId="1" xr:uid="{BE64AF3C-7C6B-4E08-852E-82772AED53E4}"/>
    <cellStyle name="Normal 3" xfId="3" xr:uid="{27ABA5FC-6427-4948-8A17-BCCA832C236F}"/>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123823</xdr:colOff>
      <xdr:row>0</xdr:row>
      <xdr:rowOff>154783</xdr:rowOff>
    </xdr:from>
    <xdr:to>
      <xdr:col>2</xdr:col>
      <xdr:colOff>1440655</xdr:colOff>
      <xdr:row>3</xdr:row>
      <xdr:rowOff>285612</xdr:rowOff>
    </xdr:to>
    <xdr:pic>
      <xdr:nvPicPr>
        <xdr:cNvPr id="2" name="Imagen 1">
          <a:extLst>
            <a:ext uri="{FF2B5EF4-FFF2-40B4-BE49-F238E27FC236}">
              <a16:creationId xmlns:a16="http://schemas.microsoft.com/office/drawing/2014/main" id="{8B4BAD4F-54DC-43D5-980A-017771287C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0511" y="154783"/>
          <a:ext cx="2459832" cy="904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120575</xdr:colOff>
      <xdr:row>0</xdr:row>
      <xdr:rowOff>47626</xdr:rowOff>
    </xdr:from>
    <xdr:to>
      <xdr:col>1</xdr:col>
      <xdr:colOff>2168521</xdr:colOff>
      <xdr:row>5</xdr:row>
      <xdr:rowOff>1</xdr:rowOff>
    </xdr:to>
    <xdr:pic>
      <xdr:nvPicPr>
        <xdr:cNvPr id="3" name="Imagen 2">
          <a:extLst>
            <a:ext uri="{FF2B5EF4-FFF2-40B4-BE49-F238E27FC236}">
              <a16:creationId xmlns:a16="http://schemas.microsoft.com/office/drawing/2014/main" id="{F35A8D7C-687B-818E-C7E1-1D1961D709A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6388" y="47626"/>
          <a:ext cx="2047946" cy="86915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42333</xdr:colOff>
      <xdr:row>0</xdr:row>
      <xdr:rowOff>105833</xdr:rowOff>
    </xdr:from>
    <xdr:to>
      <xdr:col>2</xdr:col>
      <xdr:colOff>972409</xdr:colOff>
      <xdr:row>3</xdr:row>
      <xdr:rowOff>74083</xdr:rowOff>
    </xdr:to>
    <xdr:pic>
      <xdr:nvPicPr>
        <xdr:cNvPr id="2" name="Imagen 1">
          <a:extLst>
            <a:ext uri="{FF2B5EF4-FFF2-40B4-BE49-F238E27FC236}">
              <a16:creationId xmlns:a16="http://schemas.microsoft.com/office/drawing/2014/main" id="{FD305479-427D-42D3-A9DF-EC90FCF44B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7500" y="105833"/>
          <a:ext cx="1321659" cy="56091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31750</xdr:colOff>
      <xdr:row>0</xdr:row>
      <xdr:rowOff>126999</xdr:rowOff>
    </xdr:from>
    <xdr:to>
      <xdr:col>2</xdr:col>
      <xdr:colOff>785813</xdr:colOff>
      <xdr:row>3</xdr:row>
      <xdr:rowOff>278368</xdr:rowOff>
    </xdr:to>
    <xdr:pic>
      <xdr:nvPicPr>
        <xdr:cNvPr id="3" name="Imagen 2">
          <a:extLst>
            <a:ext uri="{FF2B5EF4-FFF2-40B4-BE49-F238E27FC236}">
              <a16:creationId xmlns:a16="http://schemas.microsoft.com/office/drawing/2014/main" id="{9D06357E-2D3C-40F9-8CFD-F00109D086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6063" y="126999"/>
          <a:ext cx="2123281" cy="9252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Productos\2017\ACTUALIZADOS\GRATIS\actualizados\Sistema%20de%20busqueda%20interactivo%20macro.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PRESENTACION"/>
      <sheetName val="BASE DE DATOS"/>
      <sheetName val="Filtro"/>
    </sheetNames>
    <sheetDataSet>
      <sheetData sheetId="0">
        <row r="2">
          <cell r="A2" t="str">
            <v>RODAMIENTOS</v>
          </cell>
        </row>
        <row r="3">
          <cell r="A3" t="str">
            <v>RETENES</v>
          </cell>
        </row>
        <row r="4">
          <cell r="A4" t="str">
            <v>CRUCETAS</v>
          </cell>
        </row>
      </sheetData>
      <sheetData sheetId="1" refreshError="1"/>
      <sheetData sheetId="2" refreshError="1"/>
      <sheetData sheetId="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4C44C2-7C8F-4F90-B609-343BF8AA3116}">
  <sheetPr>
    <pageSetUpPr fitToPage="1"/>
  </sheetPr>
  <dimension ref="A1:AD58"/>
  <sheetViews>
    <sheetView showGridLines="0" topLeftCell="A4" zoomScale="80" zoomScaleNormal="80" zoomScaleSheetLayoutView="50" zoomScalePageLayoutView="40" workbookViewId="0">
      <selection activeCell="N16" sqref="N16"/>
    </sheetView>
  </sheetViews>
  <sheetFormatPr baseColWidth="10" defaultColWidth="0" defaultRowHeight="12.5" zeroHeight="1" x14ac:dyDescent="0.25"/>
  <cols>
    <col min="1" max="1" width="2.54296875" customWidth="1"/>
    <col min="2" max="2" width="17.08984375" customWidth="1"/>
    <col min="3" max="3" width="24.54296875" customWidth="1"/>
    <col min="4" max="5" width="12.54296875" customWidth="1"/>
    <col min="6" max="6" width="13" customWidth="1"/>
    <col min="7" max="8" width="12.54296875" customWidth="1"/>
    <col min="9" max="9" width="12.36328125" customWidth="1"/>
    <col min="10" max="10" width="8.36328125" customWidth="1"/>
    <col min="11" max="11" width="29.6328125" customWidth="1"/>
    <col min="12" max="12" width="3.90625" customWidth="1"/>
    <col min="13" max="13" width="18.08984375" customWidth="1"/>
    <col min="14" max="15" width="11.453125" customWidth="1"/>
    <col min="16" max="18" width="11.453125" hidden="1" customWidth="1"/>
    <col min="19" max="19" width="16.36328125" hidden="1" customWidth="1"/>
    <col min="20" max="20" width="17.453125" hidden="1" customWidth="1"/>
    <col min="21" max="30" width="0" hidden="1" customWidth="1"/>
    <col min="31" max="16384" width="11.453125" hidden="1"/>
  </cols>
  <sheetData>
    <row r="1" spans="2:14" x14ac:dyDescent="0.25"/>
    <row r="2" spans="2:14" ht="23.25" customHeight="1" x14ac:dyDescent="0.25">
      <c r="B2" s="191"/>
      <c r="C2" s="191"/>
      <c r="D2" s="186" t="s">
        <v>88</v>
      </c>
      <c r="E2" s="186"/>
      <c r="F2" s="186"/>
      <c r="G2" s="186"/>
      <c r="H2" s="186"/>
      <c r="I2" s="188" t="s">
        <v>153</v>
      </c>
      <c r="J2" s="189"/>
      <c r="K2" s="190"/>
    </row>
    <row r="3" spans="2:14" ht="24" customHeight="1" x14ac:dyDescent="0.25">
      <c r="B3" s="191"/>
      <c r="C3" s="191"/>
      <c r="D3" s="186"/>
      <c r="E3" s="186"/>
      <c r="F3" s="186"/>
      <c r="G3" s="186"/>
      <c r="H3" s="186"/>
      <c r="I3" s="188" t="s">
        <v>154</v>
      </c>
      <c r="J3" s="189"/>
      <c r="K3" s="190"/>
    </row>
    <row r="4" spans="2:14" ht="23.25" customHeight="1" x14ac:dyDescent="0.25">
      <c r="B4" s="191"/>
      <c r="C4" s="191"/>
      <c r="D4" s="186"/>
      <c r="E4" s="186"/>
      <c r="F4" s="186"/>
      <c r="G4" s="186"/>
      <c r="H4" s="186"/>
      <c r="I4" s="150" t="s">
        <v>152</v>
      </c>
      <c r="J4" s="148"/>
      <c r="K4" s="149">
        <f ca="1">TODAY()</f>
        <v>45874</v>
      </c>
    </row>
    <row r="5" spans="2:14" ht="16.5" x14ac:dyDescent="0.25">
      <c r="D5" s="144"/>
      <c r="E5" s="144"/>
      <c r="F5" s="144"/>
      <c r="G5" s="144"/>
      <c r="H5" s="144"/>
      <c r="I5" s="145"/>
      <c r="J5" s="143"/>
      <c r="K5" s="143"/>
    </row>
    <row r="6" spans="2:14" ht="13" x14ac:dyDescent="0.3">
      <c r="G6" s="187"/>
      <c r="H6" s="187"/>
      <c r="I6" s="187"/>
      <c r="J6" s="187"/>
      <c r="K6" s="146"/>
    </row>
    <row r="7" spans="2:14" x14ac:dyDescent="0.25">
      <c r="H7" s="1"/>
      <c r="J7" s="2"/>
      <c r="K7" s="2"/>
      <c r="N7" s="147"/>
    </row>
    <row r="8" spans="2:14" ht="35.25" customHeight="1" x14ac:dyDescent="0.25">
      <c r="B8" s="177" t="s">
        <v>95</v>
      </c>
      <c r="C8" s="177"/>
      <c r="D8" s="177"/>
      <c r="E8" s="177"/>
      <c r="F8" s="177"/>
      <c r="G8" s="177"/>
      <c r="H8" s="177"/>
      <c r="I8" s="177"/>
      <c r="J8" s="177"/>
      <c r="K8" s="177"/>
    </row>
    <row r="9" spans="2:14" ht="14" x14ac:dyDescent="0.3">
      <c r="B9" s="70"/>
      <c r="C9" s="70"/>
      <c r="D9" s="70"/>
      <c r="E9" s="70"/>
      <c r="F9" s="70"/>
      <c r="G9" s="70"/>
      <c r="H9" s="70"/>
      <c r="I9" s="70"/>
      <c r="J9" s="70"/>
    </row>
    <row r="10" spans="2:14" ht="14" x14ac:dyDescent="0.25">
      <c r="B10" s="182" t="s">
        <v>68</v>
      </c>
      <c r="C10" s="183"/>
      <c r="D10" s="183"/>
      <c r="E10" s="183"/>
      <c r="F10" s="183"/>
      <c r="G10" s="183"/>
      <c r="H10" s="183"/>
      <c r="I10" s="183"/>
      <c r="J10" s="183"/>
      <c r="K10" s="184"/>
    </row>
    <row r="11" spans="2:14" ht="21.75" customHeight="1" x14ac:dyDescent="0.25">
      <c r="B11" s="164" t="s">
        <v>92</v>
      </c>
      <c r="C11" s="164"/>
      <c r="D11" s="165"/>
      <c r="E11" s="165"/>
      <c r="F11" s="165"/>
      <c r="G11" s="165"/>
      <c r="H11" s="165"/>
      <c r="I11" s="165"/>
      <c r="J11" s="165"/>
      <c r="K11" s="165"/>
    </row>
    <row r="12" spans="2:14" ht="21.75" customHeight="1" x14ac:dyDescent="0.25">
      <c r="B12" s="164" t="s">
        <v>90</v>
      </c>
      <c r="C12" s="164"/>
      <c r="D12" s="165"/>
      <c r="E12" s="165"/>
      <c r="F12" s="165"/>
      <c r="G12" s="165"/>
      <c r="H12" s="165"/>
      <c r="I12" s="165"/>
      <c r="J12" s="165"/>
      <c r="K12" s="165"/>
    </row>
    <row r="13" spans="2:14" ht="21.75" customHeight="1" x14ac:dyDescent="0.25">
      <c r="B13" s="164" t="s">
        <v>159</v>
      </c>
      <c r="C13" s="164"/>
      <c r="D13" s="165"/>
      <c r="E13" s="165"/>
      <c r="F13" s="165"/>
      <c r="G13" s="165"/>
      <c r="H13" s="165"/>
      <c r="I13" s="165"/>
      <c r="J13" s="165"/>
      <c r="K13" s="165"/>
    </row>
    <row r="14" spans="2:14" ht="14.25" customHeight="1" x14ac:dyDescent="0.25">
      <c r="B14" s="71"/>
      <c r="C14" s="71"/>
      <c r="D14" s="69"/>
      <c r="E14" s="69"/>
      <c r="F14" s="69"/>
      <c r="G14" s="69"/>
      <c r="H14" s="69"/>
      <c r="I14" s="69"/>
      <c r="J14" s="69"/>
      <c r="K14" s="69"/>
    </row>
    <row r="15" spans="2:14" ht="14" x14ac:dyDescent="0.25">
      <c r="B15" s="173" t="s">
        <v>89</v>
      </c>
      <c r="C15" s="174"/>
      <c r="D15" s="174"/>
      <c r="E15" s="174"/>
      <c r="F15" s="174"/>
      <c r="G15" s="174"/>
      <c r="H15" s="174"/>
      <c r="I15" s="174"/>
      <c r="J15" s="174"/>
      <c r="K15" s="180"/>
    </row>
    <row r="16" spans="2:14" ht="18.75" customHeight="1" x14ac:dyDescent="0.25">
      <c r="B16" s="164" t="s">
        <v>93</v>
      </c>
      <c r="C16" s="164"/>
      <c r="D16" s="165"/>
      <c r="E16" s="165"/>
      <c r="F16" s="165"/>
      <c r="G16" s="165"/>
      <c r="H16" s="165"/>
      <c r="I16" s="165"/>
      <c r="J16" s="165"/>
      <c r="K16" s="165"/>
    </row>
    <row r="17" spans="2:11" ht="21" customHeight="1" x14ac:dyDescent="0.25">
      <c r="B17" s="164" t="s">
        <v>91</v>
      </c>
      <c r="C17" s="164"/>
      <c r="D17" s="165"/>
      <c r="E17" s="165"/>
      <c r="F17" s="165"/>
      <c r="G17" s="165"/>
      <c r="H17" s="165"/>
      <c r="I17" s="165"/>
      <c r="J17" s="165"/>
      <c r="K17" s="165"/>
    </row>
    <row r="18" spans="2:11" ht="62.25" customHeight="1" x14ac:dyDescent="0.25">
      <c r="B18" s="181" t="s">
        <v>65</v>
      </c>
      <c r="C18" s="181"/>
      <c r="D18" s="185"/>
      <c r="E18" s="185"/>
      <c r="F18" s="185"/>
      <c r="G18" s="185"/>
      <c r="H18" s="185"/>
      <c r="I18" s="185"/>
      <c r="J18" s="185"/>
      <c r="K18" s="185"/>
    </row>
    <row r="19" spans="2:11" ht="14.25" customHeight="1" x14ac:dyDescent="0.25">
      <c r="B19" s="71"/>
      <c r="C19" s="71"/>
      <c r="D19" s="69"/>
      <c r="E19" s="69"/>
      <c r="F19" s="69"/>
      <c r="G19" s="69"/>
      <c r="H19" s="69"/>
      <c r="I19" s="69"/>
      <c r="J19" s="69"/>
      <c r="K19" s="69"/>
    </row>
    <row r="20" spans="2:11" ht="16.5" customHeight="1" x14ac:dyDescent="0.25">
      <c r="B20" s="172" t="s">
        <v>94</v>
      </c>
      <c r="C20" s="172"/>
      <c r="D20" s="172"/>
      <c r="E20" s="172"/>
      <c r="F20" s="172"/>
      <c r="G20" s="172"/>
      <c r="H20" s="172"/>
      <c r="I20" s="172"/>
      <c r="J20" s="179" t="s">
        <v>5</v>
      </c>
      <c r="K20" s="179"/>
    </row>
    <row r="21" spans="2:11" ht="18" customHeight="1" x14ac:dyDescent="0.25">
      <c r="B21" s="72" t="s">
        <v>96</v>
      </c>
      <c r="C21" s="72" t="s">
        <v>6</v>
      </c>
      <c r="D21" s="72" t="s">
        <v>2</v>
      </c>
      <c r="E21" s="166" t="s">
        <v>151</v>
      </c>
      <c r="F21" s="167"/>
      <c r="G21" s="72" t="s">
        <v>1</v>
      </c>
      <c r="H21" s="72" t="s">
        <v>7</v>
      </c>
      <c r="I21" s="72" t="s">
        <v>10</v>
      </c>
      <c r="J21" s="179"/>
      <c r="K21" s="179"/>
    </row>
    <row r="22" spans="2:11" ht="25.5" customHeight="1" x14ac:dyDescent="0.25">
      <c r="B22" s="175"/>
      <c r="C22" s="175"/>
      <c r="D22" s="175"/>
      <c r="E22" s="168"/>
      <c r="F22" s="169"/>
      <c r="G22" s="175"/>
      <c r="H22" s="175"/>
      <c r="I22" s="175"/>
      <c r="J22" s="178">
        <f>SUM(B22:I23)</f>
        <v>0</v>
      </c>
      <c r="K22" s="178"/>
    </row>
    <row r="23" spans="2:11" ht="27.75" customHeight="1" x14ac:dyDescent="0.25">
      <c r="B23" s="175"/>
      <c r="C23" s="175"/>
      <c r="D23" s="176"/>
      <c r="E23" s="170"/>
      <c r="F23" s="171"/>
      <c r="G23" s="176"/>
      <c r="H23" s="176"/>
      <c r="I23" s="176"/>
      <c r="J23" s="178"/>
      <c r="K23" s="178"/>
    </row>
    <row r="24" spans="2:11" ht="65.25" customHeight="1" x14ac:dyDescent="0.25">
      <c r="B24" s="196" t="s">
        <v>102</v>
      </c>
      <c r="C24" s="197"/>
      <c r="D24" s="198"/>
      <c r="E24" s="198"/>
      <c r="F24" s="198"/>
      <c r="G24" s="198"/>
      <c r="H24" s="198"/>
      <c r="I24" s="198"/>
      <c r="J24" s="199"/>
      <c r="K24" s="199"/>
    </row>
    <row r="25" spans="2:11" ht="30.75" customHeight="1" x14ac:dyDescent="0.25">
      <c r="B25" s="195" t="s">
        <v>97</v>
      </c>
      <c r="C25" s="195"/>
      <c r="D25" s="195"/>
      <c r="E25" s="195"/>
      <c r="F25" s="195"/>
      <c r="G25" s="195"/>
      <c r="H25" s="195"/>
      <c r="I25" s="195"/>
      <c r="J25" s="195"/>
      <c r="K25" s="195"/>
    </row>
    <row r="26" spans="2:11" ht="14.25" customHeight="1" x14ac:dyDescent="0.25">
      <c r="B26" s="71"/>
      <c r="C26" s="71"/>
      <c r="D26" s="69"/>
      <c r="E26" s="69"/>
      <c r="F26" s="69"/>
      <c r="G26" s="69"/>
      <c r="H26" s="69"/>
      <c r="I26" s="69"/>
      <c r="J26" s="69"/>
      <c r="K26" s="69"/>
    </row>
    <row r="27" spans="2:11" ht="14" x14ac:dyDescent="0.25">
      <c r="B27" s="173" t="s">
        <v>8</v>
      </c>
      <c r="C27" s="174"/>
      <c r="D27" s="173" t="s">
        <v>9</v>
      </c>
      <c r="E27" s="174"/>
      <c r="F27" s="174"/>
      <c r="G27" s="174"/>
      <c r="H27" s="174"/>
      <c r="I27" s="174"/>
      <c r="J27" s="174"/>
      <c r="K27" s="174"/>
    </row>
    <row r="28" spans="2:11" ht="36" customHeight="1" x14ac:dyDescent="0.25">
      <c r="B28" s="178"/>
      <c r="C28" s="178"/>
      <c r="D28" s="165"/>
      <c r="E28" s="165"/>
      <c r="F28" s="165"/>
      <c r="G28" s="165"/>
      <c r="H28" s="165"/>
      <c r="I28" s="165"/>
      <c r="J28" s="165"/>
      <c r="K28" s="165"/>
    </row>
    <row r="29" spans="2:11" ht="13" x14ac:dyDescent="0.25">
      <c r="B29" s="216" t="s">
        <v>98</v>
      </c>
      <c r="C29" s="216"/>
      <c r="D29" s="216"/>
      <c r="E29" s="216"/>
      <c r="F29" s="216"/>
      <c r="G29" s="216"/>
      <c r="H29" s="216"/>
      <c r="I29" s="216"/>
      <c r="J29" s="216"/>
      <c r="K29" s="216"/>
    </row>
    <row r="30" spans="2:11" ht="14.5" x14ac:dyDescent="0.35">
      <c r="B30" s="4"/>
      <c r="C30" s="4"/>
      <c r="D30" s="4"/>
      <c r="E30" s="4"/>
      <c r="F30" s="4"/>
      <c r="G30" s="4"/>
      <c r="H30" s="4"/>
      <c r="I30" s="4"/>
      <c r="J30" s="4"/>
      <c r="K30" s="4"/>
    </row>
    <row r="31" spans="2:11" x14ac:dyDescent="0.25"/>
    <row r="32" spans="2:11" ht="15.5" x14ac:dyDescent="0.25">
      <c r="B32" s="200" t="s">
        <v>138</v>
      </c>
      <c r="C32" s="200"/>
      <c r="D32" s="200"/>
      <c r="E32" s="200"/>
      <c r="F32" s="200"/>
      <c r="G32" s="200"/>
      <c r="H32" s="200"/>
      <c r="I32" s="200"/>
      <c r="J32" s="200"/>
      <c r="K32" s="200"/>
    </row>
    <row r="33" spans="1:11" x14ac:dyDescent="0.25">
      <c r="B33" s="207"/>
      <c r="C33" s="208"/>
      <c r="D33" s="208"/>
      <c r="E33" s="208"/>
      <c r="F33" s="208"/>
      <c r="G33" s="208"/>
      <c r="H33" s="208"/>
      <c r="I33" s="208"/>
      <c r="J33" s="208"/>
      <c r="K33" s="209"/>
    </row>
    <row r="34" spans="1:11" x14ac:dyDescent="0.25">
      <c r="B34" s="210"/>
      <c r="C34" s="211"/>
      <c r="D34" s="211"/>
      <c r="E34" s="211"/>
      <c r="F34" s="211"/>
      <c r="G34" s="211"/>
      <c r="H34" s="211"/>
      <c r="I34" s="211"/>
      <c r="J34" s="211"/>
      <c r="K34" s="212"/>
    </row>
    <row r="35" spans="1:11" x14ac:dyDescent="0.25">
      <c r="B35" s="210"/>
      <c r="C35" s="211"/>
      <c r="D35" s="211"/>
      <c r="E35" s="211"/>
      <c r="F35" s="211"/>
      <c r="G35" s="211"/>
      <c r="H35" s="211"/>
      <c r="I35" s="211"/>
      <c r="J35" s="211"/>
      <c r="K35" s="212"/>
    </row>
    <row r="36" spans="1:11" x14ac:dyDescent="0.25">
      <c r="B36" s="210"/>
      <c r="C36" s="211"/>
      <c r="D36" s="211"/>
      <c r="E36" s="211"/>
      <c r="F36" s="211"/>
      <c r="G36" s="211"/>
      <c r="H36" s="211"/>
      <c r="I36" s="211"/>
      <c r="J36" s="211"/>
      <c r="K36" s="212"/>
    </row>
    <row r="37" spans="1:11" ht="20.25" customHeight="1" x14ac:dyDescent="0.25">
      <c r="B37" s="213"/>
      <c r="C37" s="214"/>
      <c r="D37" s="214"/>
      <c r="E37" s="214"/>
      <c r="F37" s="214"/>
      <c r="G37" s="214"/>
      <c r="H37" s="214"/>
      <c r="I37" s="214"/>
      <c r="J37" s="214"/>
      <c r="K37" s="215"/>
    </row>
    <row r="38" spans="1:11" ht="20.25" customHeight="1" x14ac:dyDescent="0.25">
      <c r="B38" s="201" t="s">
        <v>165</v>
      </c>
      <c r="C38" s="202"/>
      <c r="D38" s="202"/>
      <c r="E38" s="202"/>
      <c r="F38" s="202"/>
      <c r="G38" s="202"/>
      <c r="H38" s="202"/>
      <c r="I38" s="202"/>
      <c r="J38" s="202"/>
      <c r="K38" s="203"/>
    </row>
    <row r="39" spans="1:11" ht="14" x14ac:dyDescent="0.25">
      <c r="B39" s="204" t="s">
        <v>100</v>
      </c>
      <c r="C39" s="205"/>
      <c r="D39" s="205"/>
      <c r="E39" s="205"/>
      <c r="F39" s="205"/>
      <c r="G39" s="205"/>
      <c r="H39" s="205"/>
      <c r="I39" s="205"/>
      <c r="J39" s="205"/>
      <c r="K39" s="206"/>
    </row>
    <row r="40" spans="1:11" x14ac:dyDescent="0.25"/>
    <row r="41" spans="1:11" x14ac:dyDescent="0.25"/>
    <row r="42" spans="1:11" ht="13" x14ac:dyDescent="0.25">
      <c r="A42" s="192" t="s">
        <v>99</v>
      </c>
      <c r="B42" s="193"/>
      <c r="C42" s="194"/>
    </row>
    <row r="43" spans="1:11" x14ac:dyDescent="0.25">
      <c r="A43" s="73" t="s">
        <v>160</v>
      </c>
      <c r="B43" s="74"/>
      <c r="C43" s="75"/>
    </row>
    <row r="44" spans="1:11" x14ac:dyDescent="0.25">
      <c r="A44" s="76" t="s">
        <v>161</v>
      </c>
      <c r="C44" s="77"/>
    </row>
    <row r="45" spans="1:11" ht="12.75" customHeight="1" x14ac:dyDescent="0.25">
      <c r="A45" s="76" t="s">
        <v>162</v>
      </c>
      <c r="C45" s="77"/>
    </row>
    <row r="46" spans="1:11" x14ac:dyDescent="0.25">
      <c r="A46" s="78" t="s">
        <v>163</v>
      </c>
      <c r="B46" s="42"/>
      <c r="C46" s="79"/>
    </row>
    <row r="47" spans="1:11" x14ac:dyDescent="0.25">
      <c r="A47" s="161" t="s">
        <v>164</v>
      </c>
      <c r="B47" s="42"/>
      <c r="C47" s="79"/>
    </row>
    <row r="48" spans="1:11" x14ac:dyDescent="0.25"/>
    <row r="49" x14ac:dyDescent="0.25"/>
    <row r="50" x14ac:dyDescent="0.25"/>
    <row r="51" x14ac:dyDescent="0.25"/>
    <row r="52" x14ac:dyDescent="0.25"/>
    <row r="53" x14ac:dyDescent="0.25"/>
    <row r="54" x14ac:dyDescent="0.25"/>
    <row r="55" x14ac:dyDescent="0.25"/>
    <row r="56" x14ac:dyDescent="0.25"/>
    <row r="57" x14ac:dyDescent="0.25"/>
    <row r="58" x14ac:dyDescent="0.25"/>
  </sheetData>
  <mergeCells count="47">
    <mergeCell ref="A42:C42"/>
    <mergeCell ref="B25:C25"/>
    <mergeCell ref="D25:K25"/>
    <mergeCell ref="B24:C24"/>
    <mergeCell ref="D24:I24"/>
    <mergeCell ref="J24:K24"/>
    <mergeCell ref="B32:K32"/>
    <mergeCell ref="B28:C28"/>
    <mergeCell ref="B38:K38"/>
    <mergeCell ref="B39:K39"/>
    <mergeCell ref="B33:K37"/>
    <mergeCell ref="B29:K29"/>
    <mergeCell ref="D2:H4"/>
    <mergeCell ref="G6:H6"/>
    <mergeCell ref="I2:K2"/>
    <mergeCell ref="I3:K3"/>
    <mergeCell ref="B2:C4"/>
    <mergeCell ref="I6:J6"/>
    <mergeCell ref="B8:K8"/>
    <mergeCell ref="J22:K23"/>
    <mergeCell ref="J20:K21"/>
    <mergeCell ref="B12:C12"/>
    <mergeCell ref="D12:K12"/>
    <mergeCell ref="B15:K15"/>
    <mergeCell ref="B16:C16"/>
    <mergeCell ref="D16:K16"/>
    <mergeCell ref="B17:C17"/>
    <mergeCell ref="D17:K17"/>
    <mergeCell ref="B18:C18"/>
    <mergeCell ref="G22:G23"/>
    <mergeCell ref="B10:K10"/>
    <mergeCell ref="B11:C11"/>
    <mergeCell ref="D11:K11"/>
    <mergeCell ref="D18:K18"/>
    <mergeCell ref="B13:C13"/>
    <mergeCell ref="D13:K13"/>
    <mergeCell ref="E21:F21"/>
    <mergeCell ref="E22:F23"/>
    <mergeCell ref="D28:K28"/>
    <mergeCell ref="B20:I20"/>
    <mergeCell ref="B27:C27"/>
    <mergeCell ref="D27:K27"/>
    <mergeCell ref="H22:H23"/>
    <mergeCell ref="I22:I23"/>
    <mergeCell ref="B22:B23"/>
    <mergeCell ref="C22:C23"/>
    <mergeCell ref="D22:D23"/>
  </mergeCells>
  <pageMargins left="0.6692913385826772" right="0.70866141732283472" top="0.74803149606299213" bottom="0.74803149606299213" header="0.31496062992125984" footer="0.31496062992125984"/>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4881E-47BA-4387-B9A0-DDD0CF707E65}">
  <sheetPr>
    <pageSetUpPr fitToPage="1"/>
  </sheetPr>
  <dimension ref="A1:M69"/>
  <sheetViews>
    <sheetView showGridLines="0" zoomScale="80" zoomScaleNormal="80" zoomScaleSheetLayoutView="70" zoomScalePageLayoutView="30" workbookViewId="0">
      <selection activeCell="A16" sqref="A16:XFD17"/>
    </sheetView>
  </sheetViews>
  <sheetFormatPr baseColWidth="10" defaultColWidth="0" defaultRowHeight="12.5" zeroHeight="1" x14ac:dyDescent="0.25"/>
  <cols>
    <col min="1" max="1" width="11.6328125" customWidth="1"/>
    <col min="2" max="2" width="47.6328125" customWidth="1"/>
    <col min="3" max="3" width="13.453125" customWidth="1"/>
    <col min="4" max="4" width="15.36328125" customWidth="1"/>
    <col min="5" max="5" width="11.453125" customWidth="1"/>
    <col min="6" max="6" width="23.08984375" customWidth="1"/>
    <col min="7" max="7" width="13.54296875" customWidth="1"/>
    <col min="8" max="8" width="8.36328125" customWidth="1"/>
    <col min="9" max="10" width="11.453125" hidden="1" customWidth="1"/>
    <col min="11" max="11" width="4.54296875" customWidth="1"/>
    <col min="12" max="12" width="11.453125" customWidth="1"/>
    <col min="13" max="16384" width="11.453125" hidden="1"/>
  </cols>
  <sheetData>
    <row r="1" spans="2:13" ht="15.75" customHeight="1" x14ac:dyDescent="0.25"/>
    <row r="2" spans="2:13" ht="13" x14ac:dyDescent="0.25">
      <c r="G2" s="236" t="s">
        <v>13</v>
      </c>
      <c r="H2" s="236"/>
    </row>
    <row r="3" spans="2:13" ht="16.5" x14ac:dyDescent="0.35">
      <c r="C3" s="66" t="s">
        <v>85</v>
      </c>
    </row>
    <row r="4" spans="2:13" x14ac:dyDescent="0.25"/>
    <row r="5" spans="2:13" x14ac:dyDescent="0.25"/>
    <row r="6" spans="2:13" x14ac:dyDescent="0.25"/>
    <row r="7" spans="2:13" ht="13" x14ac:dyDescent="0.3">
      <c r="D7" s="3" t="s">
        <v>63</v>
      </c>
      <c r="E7" s="44" t="s">
        <v>64</v>
      </c>
      <c r="F7" s="43"/>
      <c r="G7" s="43"/>
      <c r="H7" s="43"/>
      <c r="I7" s="2"/>
    </row>
    <row r="8" spans="2:13" x14ac:dyDescent="0.25"/>
    <row r="9" spans="2:13" ht="15.75" customHeight="1" x14ac:dyDescent="0.25">
      <c r="B9" s="241" t="s">
        <v>68</v>
      </c>
      <c r="C9" s="241"/>
      <c r="D9" s="241"/>
      <c r="E9" s="241"/>
      <c r="F9" s="241"/>
      <c r="G9" s="241"/>
      <c r="H9" s="241"/>
    </row>
    <row r="10" spans="2:13" ht="16.5" customHeight="1" x14ac:dyDescent="0.25">
      <c r="B10" s="67" t="s">
        <v>69</v>
      </c>
      <c r="C10" s="244"/>
      <c r="D10" s="243"/>
      <c r="E10" s="243"/>
      <c r="F10" s="243"/>
      <c r="G10" s="243"/>
      <c r="H10" s="243"/>
    </row>
    <row r="11" spans="2:13" ht="16.5" customHeight="1" x14ac:dyDescent="0.25">
      <c r="B11" s="67" t="s">
        <v>70</v>
      </c>
      <c r="C11" s="244"/>
      <c r="D11" s="243"/>
      <c r="E11" s="243"/>
      <c r="F11" s="243"/>
      <c r="G11" s="243"/>
      <c r="H11" s="243"/>
    </row>
    <row r="12" spans="2:13" ht="16.5" customHeight="1" x14ac:dyDescent="0.25">
      <c r="B12" s="67" t="s">
        <v>71</v>
      </c>
      <c r="C12" s="244"/>
      <c r="D12" s="243"/>
      <c r="E12" s="243"/>
      <c r="F12" s="243"/>
      <c r="G12" s="243"/>
      <c r="H12" s="243"/>
    </row>
    <row r="13" spans="2:13" ht="15.75" customHeight="1" x14ac:dyDescent="0.35">
      <c r="B13" s="242" t="s">
        <v>139</v>
      </c>
      <c r="C13" s="242"/>
      <c r="D13" s="242"/>
      <c r="E13" s="242"/>
      <c r="F13" s="242"/>
      <c r="G13" s="242"/>
      <c r="H13" s="242"/>
    </row>
    <row r="14" spans="2:13" ht="21.75" customHeight="1" x14ac:dyDescent="0.25">
      <c r="B14" s="68" t="s">
        <v>3</v>
      </c>
      <c r="C14" s="243"/>
      <c r="D14" s="243"/>
      <c r="E14" s="243"/>
      <c r="F14" s="243"/>
      <c r="G14" s="243"/>
      <c r="H14" s="243"/>
    </row>
    <row r="15" spans="2:13" ht="40.5" customHeight="1" x14ac:dyDescent="0.25">
      <c r="B15" s="68" t="s">
        <v>66</v>
      </c>
      <c r="C15" s="243"/>
      <c r="D15" s="243"/>
      <c r="E15" s="243"/>
      <c r="F15" s="243"/>
      <c r="G15" s="243"/>
      <c r="H15" s="243"/>
      <c r="M15" s="1"/>
    </row>
    <row r="16" spans="2:13" ht="12.75" customHeight="1" x14ac:dyDescent="0.35">
      <c r="B16" s="242" t="s">
        <v>67</v>
      </c>
      <c r="C16" s="242"/>
      <c r="D16" s="242"/>
      <c r="E16" s="242"/>
      <c r="F16" s="242"/>
      <c r="G16" s="242"/>
      <c r="H16" s="242"/>
    </row>
    <row r="17" spans="2:8" ht="19.5" customHeight="1" x14ac:dyDescent="0.25">
      <c r="B17" s="237" t="s">
        <v>73</v>
      </c>
      <c r="C17" s="238"/>
      <c r="D17" s="238"/>
      <c r="E17" s="238"/>
      <c r="F17" s="239"/>
      <c r="G17" s="240" t="s">
        <v>72</v>
      </c>
      <c r="H17" s="240"/>
    </row>
    <row r="18" spans="2:8" s="45" customFormat="1" ht="15.75" customHeight="1" x14ac:dyDescent="0.25">
      <c r="B18" s="223" t="s">
        <v>74</v>
      </c>
      <c r="C18" s="224"/>
      <c r="D18" s="224"/>
      <c r="E18" s="224"/>
      <c r="F18" s="225"/>
      <c r="G18" s="227">
        <v>0</v>
      </c>
      <c r="H18" s="227"/>
    </row>
    <row r="19" spans="2:8" s="45" customFormat="1" ht="15.75" customHeight="1" x14ac:dyDescent="0.25">
      <c r="B19" s="50"/>
      <c r="C19" s="51"/>
      <c r="D19" s="51"/>
      <c r="E19" s="51"/>
      <c r="F19" s="52"/>
      <c r="G19" s="228"/>
      <c r="H19" s="229"/>
    </row>
    <row r="20" spans="2:8" s="45" customFormat="1" ht="15.75" customHeight="1" x14ac:dyDescent="0.25">
      <c r="B20" s="223" t="s">
        <v>75</v>
      </c>
      <c r="C20" s="224"/>
      <c r="D20" s="224"/>
      <c r="E20" s="224"/>
      <c r="F20" s="225"/>
      <c r="G20" s="227">
        <v>0</v>
      </c>
      <c r="H20" s="227"/>
    </row>
    <row r="21" spans="2:8" s="45" customFormat="1" ht="15.75" customHeight="1" x14ac:dyDescent="0.25">
      <c r="B21" s="50"/>
      <c r="C21" s="51"/>
      <c r="D21" s="51"/>
      <c r="E21" s="51"/>
      <c r="F21" s="52"/>
      <c r="G21" s="228"/>
      <c r="H21" s="229"/>
    </row>
    <row r="22" spans="2:8" s="45" customFormat="1" ht="15.75" customHeight="1" x14ac:dyDescent="0.25">
      <c r="B22" s="223" t="s">
        <v>76</v>
      </c>
      <c r="C22" s="224"/>
      <c r="D22" s="224"/>
      <c r="E22" s="224"/>
      <c r="F22" s="225"/>
      <c r="G22" s="227">
        <v>0</v>
      </c>
      <c r="H22" s="227"/>
    </row>
    <row r="23" spans="2:8" s="45" customFormat="1" ht="15.75" customHeight="1" x14ac:dyDescent="0.25">
      <c r="B23" s="223"/>
      <c r="C23" s="224"/>
      <c r="D23" s="224"/>
      <c r="E23" s="224"/>
      <c r="F23" s="225"/>
      <c r="G23" s="228"/>
      <c r="H23" s="229"/>
    </row>
    <row r="24" spans="2:8" s="45" customFormat="1" ht="15.75" customHeight="1" x14ac:dyDescent="0.25">
      <c r="B24" s="223" t="s">
        <v>87</v>
      </c>
      <c r="C24" s="224"/>
      <c r="D24" s="224"/>
      <c r="E24" s="224"/>
      <c r="F24" s="225"/>
      <c r="G24" s="227">
        <v>0</v>
      </c>
      <c r="H24" s="227"/>
    </row>
    <row r="25" spans="2:8" s="45" customFormat="1" ht="15.75" customHeight="1" x14ac:dyDescent="0.25">
      <c r="B25" s="223"/>
      <c r="C25" s="224"/>
      <c r="D25" s="224"/>
      <c r="E25" s="224"/>
      <c r="F25" s="225"/>
      <c r="G25" s="228"/>
      <c r="H25" s="229"/>
    </row>
    <row r="26" spans="2:8" s="45" customFormat="1" ht="15.75" customHeight="1" x14ac:dyDescent="0.25">
      <c r="B26" s="223" t="s">
        <v>77</v>
      </c>
      <c r="C26" s="224"/>
      <c r="D26" s="224"/>
      <c r="E26" s="224"/>
      <c r="F26" s="225"/>
      <c r="G26" s="227">
        <v>0</v>
      </c>
      <c r="H26" s="227"/>
    </row>
    <row r="27" spans="2:8" s="45" customFormat="1" ht="15.75" customHeight="1" x14ac:dyDescent="0.25">
      <c r="B27" s="223"/>
      <c r="C27" s="224"/>
      <c r="D27" s="224"/>
      <c r="E27" s="224"/>
      <c r="F27" s="225"/>
      <c r="G27" s="228"/>
      <c r="H27" s="229"/>
    </row>
    <row r="28" spans="2:8" s="45" customFormat="1" ht="15.75" customHeight="1" x14ac:dyDescent="0.25">
      <c r="B28" s="223" t="s">
        <v>78</v>
      </c>
      <c r="C28" s="224"/>
      <c r="D28" s="224"/>
      <c r="E28" s="224"/>
      <c r="F28" s="225"/>
      <c r="G28" s="227">
        <v>0</v>
      </c>
      <c r="H28" s="227"/>
    </row>
    <row r="29" spans="2:8" s="45" customFormat="1" ht="15.75" customHeight="1" x14ac:dyDescent="0.25">
      <c r="B29" s="223"/>
      <c r="C29" s="224"/>
      <c r="D29" s="224"/>
      <c r="E29" s="224"/>
      <c r="F29" s="225"/>
      <c r="G29" s="228"/>
      <c r="H29" s="229"/>
    </row>
    <row r="30" spans="2:8" s="45" customFormat="1" ht="18" customHeight="1" x14ac:dyDescent="0.25">
      <c r="B30" s="223" t="s">
        <v>79</v>
      </c>
      <c r="C30" s="224"/>
      <c r="D30" s="224"/>
      <c r="E30" s="224"/>
      <c r="F30" s="225"/>
      <c r="G30" s="227">
        <v>0</v>
      </c>
      <c r="H30" s="227"/>
    </row>
    <row r="31" spans="2:8" s="45" customFormat="1" ht="15.75" customHeight="1" x14ac:dyDescent="0.25">
      <c r="B31" s="223"/>
      <c r="C31" s="224"/>
      <c r="D31" s="224"/>
      <c r="E31" s="224"/>
      <c r="F31" s="225"/>
      <c r="G31" s="228"/>
      <c r="H31" s="229"/>
    </row>
    <row r="32" spans="2:8" s="45" customFormat="1" ht="15.75" customHeight="1" x14ac:dyDescent="0.25">
      <c r="B32" s="223" t="s">
        <v>80</v>
      </c>
      <c r="C32" s="224"/>
      <c r="D32" s="224"/>
      <c r="E32" s="224"/>
      <c r="F32" s="225"/>
      <c r="G32" s="227">
        <v>0</v>
      </c>
      <c r="H32" s="227"/>
    </row>
    <row r="33" spans="1:8" s="45" customFormat="1" ht="15.75" customHeight="1" x14ac:dyDescent="0.25">
      <c r="B33" s="223"/>
      <c r="C33" s="224"/>
      <c r="D33" s="224"/>
      <c r="E33" s="224"/>
      <c r="F33" s="225"/>
      <c r="G33" s="228"/>
      <c r="H33" s="229"/>
    </row>
    <row r="34" spans="1:8" s="45" customFormat="1" ht="15.75" customHeight="1" x14ac:dyDescent="0.25">
      <c r="B34" s="223" t="s">
        <v>81</v>
      </c>
      <c r="C34" s="224"/>
      <c r="D34" s="224"/>
      <c r="E34" s="224"/>
      <c r="F34" s="225"/>
      <c r="G34" s="228"/>
      <c r="H34" s="229"/>
    </row>
    <row r="35" spans="1:8" s="45" customFormat="1" ht="15.75" customHeight="1" x14ac:dyDescent="0.25">
      <c r="B35" s="223"/>
      <c r="C35" s="224"/>
      <c r="D35" s="224"/>
      <c r="E35" s="224"/>
      <c r="F35" s="225"/>
      <c r="G35" s="227"/>
      <c r="H35" s="227"/>
    </row>
    <row r="36" spans="1:8" s="45" customFormat="1" ht="15.75" customHeight="1" x14ac:dyDescent="0.25">
      <c r="B36" s="223"/>
      <c r="C36" s="224"/>
      <c r="D36" s="224"/>
      <c r="E36" s="224"/>
      <c r="F36" s="225"/>
      <c r="G36" s="227"/>
      <c r="H36" s="227"/>
    </row>
    <row r="37" spans="1:8" s="45" customFormat="1" ht="15.75" customHeight="1" x14ac:dyDescent="0.25">
      <c r="B37" s="223"/>
      <c r="C37" s="224"/>
      <c r="D37" s="224"/>
      <c r="E37" s="224"/>
      <c r="F37" s="225"/>
      <c r="G37" s="227"/>
      <c r="H37" s="227"/>
    </row>
    <row r="38" spans="1:8" s="45" customFormat="1" ht="15.75" customHeight="1" x14ac:dyDescent="0.25">
      <c r="B38" s="223"/>
      <c r="C38" s="224"/>
      <c r="D38" s="224"/>
      <c r="E38" s="224"/>
      <c r="F38" s="225"/>
      <c r="G38" s="227"/>
      <c r="H38" s="227"/>
    </row>
    <row r="39" spans="1:8" s="45" customFormat="1" ht="15.75" customHeight="1" x14ac:dyDescent="0.25">
      <c r="B39" s="223"/>
      <c r="C39" s="224"/>
      <c r="D39" s="224"/>
      <c r="E39" s="224"/>
      <c r="F39" s="225"/>
      <c r="G39" s="228"/>
      <c r="H39" s="229"/>
    </row>
    <row r="40" spans="1:8" ht="15.5" x14ac:dyDescent="0.25">
      <c r="B40" s="219" t="s">
        <v>82</v>
      </c>
      <c r="C40" s="219"/>
      <c r="D40" s="219"/>
      <c r="E40" s="219"/>
      <c r="F40" s="219"/>
      <c r="G40" s="250">
        <v>350</v>
      </c>
      <c r="H40" s="250"/>
    </row>
    <row r="41" spans="1:8" ht="15.5" x14ac:dyDescent="0.25">
      <c r="B41" s="217"/>
      <c r="C41" s="226"/>
      <c r="D41" s="226"/>
      <c r="E41" s="226"/>
      <c r="F41" s="218"/>
      <c r="G41" s="63"/>
      <c r="H41" s="64"/>
    </row>
    <row r="42" spans="1:8" ht="15.5" x14ac:dyDescent="0.25">
      <c r="B42" s="219" t="s">
        <v>86</v>
      </c>
      <c r="C42" s="219"/>
      <c r="D42" s="219"/>
      <c r="E42" s="219"/>
      <c r="F42" s="219"/>
      <c r="G42" s="250"/>
      <c r="H42" s="250"/>
    </row>
    <row r="43" spans="1:8" ht="13" x14ac:dyDescent="0.25">
      <c r="B43" s="217"/>
      <c r="C43" s="226"/>
      <c r="D43" s="226"/>
      <c r="E43" s="226"/>
      <c r="F43" s="218"/>
      <c r="G43" s="56"/>
      <c r="H43" s="57"/>
    </row>
    <row r="44" spans="1:8" ht="13" x14ac:dyDescent="0.25">
      <c r="B44" s="217" t="s">
        <v>83</v>
      </c>
      <c r="C44" s="226"/>
      <c r="D44" s="226"/>
      <c r="E44" s="226"/>
      <c r="F44" s="218"/>
      <c r="G44" s="248">
        <f>G40-G42</f>
        <v>350</v>
      </c>
      <c r="H44" s="249"/>
    </row>
    <row r="45" spans="1:8" ht="13" x14ac:dyDescent="0.25">
      <c r="B45" s="47"/>
      <c r="C45" s="48"/>
      <c r="D45" s="48"/>
      <c r="E45" s="48"/>
      <c r="F45" s="49"/>
      <c r="G45" s="54"/>
      <c r="H45" s="55"/>
    </row>
    <row r="46" spans="1:8" ht="13" x14ac:dyDescent="0.25">
      <c r="B46" s="46"/>
      <c r="C46" s="46"/>
      <c r="D46" s="46"/>
      <c r="E46" s="46"/>
      <c r="F46" s="46"/>
      <c r="G46" s="62"/>
      <c r="H46" s="62"/>
    </row>
    <row r="47" spans="1:8" ht="13" x14ac:dyDescent="0.25">
      <c r="B47" s="46"/>
      <c r="C47" s="46"/>
      <c r="D47" s="46"/>
      <c r="E47" s="46"/>
      <c r="F47" s="46"/>
      <c r="G47" s="62"/>
      <c r="H47" s="62"/>
    </row>
    <row r="48" spans="1:8" s="59" customFormat="1" ht="34.5" customHeight="1" x14ac:dyDescent="0.3">
      <c r="A48" s="58"/>
      <c r="C48" s="61"/>
      <c r="F48" s="60"/>
    </row>
    <row r="49" spans="1:8" ht="15.5" x14ac:dyDescent="0.25">
      <c r="B49" s="220" t="s">
        <v>138</v>
      </c>
      <c r="C49" s="221"/>
      <c r="D49" s="221"/>
      <c r="E49" s="221"/>
      <c r="F49" s="221"/>
      <c r="G49" s="221"/>
      <c r="H49" s="222"/>
    </row>
    <row r="50" spans="1:8" x14ac:dyDescent="0.25">
      <c r="B50" s="251"/>
      <c r="C50" s="230"/>
      <c r="D50" s="231"/>
      <c r="E50" s="230"/>
      <c r="F50" s="254"/>
      <c r="G50" s="254"/>
      <c r="H50" s="231"/>
    </row>
    <row r="51" spans="1:8" x14ac:dyDescent="0.25">
      <c r="B51" s="252"/>
      <c r="C51" s="232"/>
      <c r="D51" s="233"/>
      <c r="E51" s="232"/>
      <c r="F51" s="211"/>
      <c r="G51" s="211"/>
      <c r="H51" s="233"/>
    </row>
    <row r="52" spans="1:8" x14ac:dyDescent="0.25">
      <c r="B52" s="252"/>
      <c r="C52" s="232"/>
      <c r="D52" s="233"/>
      <c r="E52" s="232"/>
      <c r="F52" s="211"/>
      <c r="G52" s="211"/>
      <c r="H52" s="233"/>
    </row>
    <row r="53" spans="1:8" x14ac:dyDescent="0.25">
      <c r="B53" s="252"/>
      <c r="C53" s="232"/>
      <c r="D53" s="233"/>
      <c r="E53" s="232"/>
      <c r="F53" s="211"/>
      <c r="G53" s="211"/>
      <c r="H53" s="233"/>
    </row>
    <row r="54" spans="1:8" x14ac:dyDescent="0.25">
      <c r="B54" s="253"/>
      <c r="C54" s="232"/>
      <c r="D54" s="233"/>
      <c r="E54" s="234"/>
      <c r="F54" s="255"/>
      <c r="G54" s="255"/>
      <c r="H54" s="235"/>
    </row>
    <row r="55" spans="1:8" ht="13" x14ac:dyDescent="0.3">
      <c r="B55" s="80" t="s">
        <v>92</v>
      </c>
      <c r="C55" s="234"/>
      <c r="D55" s="235"/>
      <c r="E55" s="245" t="s">
        <v>92</v>
      </c>
      <c r="F55" s="246"/>
      <c r="G55" s="246"/>
      <c r="H55" s="247"/>
    </row>
    <row r="56" spans="1:8" ht="20.25" customHeight="1" x14ac:dyDescent="0.25">
      <c r="B56" s="53" t="s">
        <v>100</v>
      </c>
      <c r="C56" s="217"/>
      <c r="D56" s="218"/>
      <c r="E56" s="219" t="s">
        <v>101</v>
      </c>
      <c r="F56" s="219"/>
      <c r="G56" s="219"/>
      <c r="H56" s="219"/>
    </row>
    <row r="57" spans="1:8" x14ac:dyDescent="0.25"/>
    <row r="58" spans="1:8" x14ac:dyDescent="0.25"/>
    <row r="59" spans="1:8" x14ac:dyDescent="0.25"/>
    <row r="60" spans="1:8" s="59" customFormat="1" ht="13.5" thickBot="1" x14ac:dyDescent="0.35">
      <c r="A60" s="65" t="s">
        <v>84</v>
      </c>
      <c r="B60" s="65"/>
      <c r="C60" s="65"/>
      <c r="D60" s="65"/>
      <c r="E60" s="65"/>
      <c r="F60" s="65"/>
      <c r="G60" s="65"/>
      <c r="H60" s="65"/>
    </row>
    <row r="61" spans="1:8" x14ac:dyDescent="0.25"/>
    <row r="62" spans="1:8" x14ac:dyDescent="0.25"/>
    <row r="63" spans="1:8" x14ac:dyDescent="0.25"/>
    <row r="64" spans="1:8" x14ac:dyDescent="0.25"/>
    <row r="65" x14ac:dyDescent="0.25"/>
    <row r="66" x14ac:dyDescent="0.25"/>
    <row r="67" x14ac:dyDescent="0.25"/>
    <row r="68" x14ac:dyDescent="0.25"/>
    <row r="69" x14ac:dyDescent="0.25"/>
  </sheetData>
  <mergeCells count="68">
    <mergeCell ref="G29:H29"/>
    <mergeCell ref="B23:F23"/>
    <mergeCell ref="B24:F24"/>
    <mergeCell ref="B25:F25"/>
    <mergeCell ref="B27:F27"/>
    <mergeCell ref="B26:F26"/>
    <mergeCell ref="B34:F34"/>
    <mergeCell ref="B31:F31"/>
    <mergeCell ref="G32:H32"/>
    <mergeCell ref="G31:H31"/>
    <mergeCell ref="E55:H55"/>
    <mergeCell ref="G44:H44"/>
    <mergeCell ref="G34:H34"/>
    <mergeCell ref="G35:H35"/>
    <mergeCell ref="G36:H36"/>
    <mergeCell ref="G42:H42"/>
    <mergeCell ref="G40:H40"/>
    <mergeCell ref="B43:F43"/>
    <mergeCell ref="B50:B54"/>
    <mergeCell ref="E50:H54"/>
    <mergeCell ref="B40:F40"/>
    <mergeCell ref="B44:F44"/>
    <mergeCell ref="G33:H33"/>
    <mergeCell ref="B33:F33"/>
    <mergeCell ref="B30:F30"/>
    <mergeCell ref="B32:F32"/>
    <mergeCell ref="C11:H11"/>
    <mergeCell ref="C12:H12"/>
    <mergeCell ref="B13:H13"/>
    <mergeCell ref="G30:H30"/>
    <mergeCell ref="G24:H24"/>
    <mergeCell ref="G26:H26"/>
    <mergeCell ref="B29:F29"/>
    <mergeCell ref="G28:H28"/>
    <mergeCell ref="B28:F28"/>
    <mergeCell ref="G23:H23"/>
    <mergeCell ref="G25:H25"/>
    <mergeCell ref="G27:H27"/>
    <mergeCell ref="G2:H2"/>
    <mergeCell ref="B17:F17"/>
    <mergeCell ref="B18:F18"/>
    <mergeCell ref="B20:F20"/>
    <mergeCell ref="B22:F22"/>
    <mergeCell ref="G19:H19"/>
    <mergeCell ref="G21:H21"/>
    <mergeCell ref="G17:H17"/>
    <mergeCell ref="G18:H18"/>
    <mergeCell ref="G20:H20"/>
    <mergeCell ref="G22:H22"/>
    <mergeCell ref="B9:H9"/>
    <mergeCell ref="B16:H16"/>
    <mergeCell ref="C14:H14"/>
    <mergeCell ref="C15:H15"/>
    <mergeCell ref="C10:H10"/>
    <mergeCell ref="C56:D56"/>
    <mergeCell ref="E56:H56"/>
    <mergeCell ref="B49:H49"/>
    <mergeCell ref="B35:F35"/>
    <mergeCell ref="B36:F36"/>
    <mergeCell ref="B37:F37"/>
    <mergeCell ref="B38:F38"/>
    <mergeCell ref="B39:F39"/>
    <mergeCell ref="B41:F41"/>
    <mergeCell ref="G37:H37"/>
    <mergeCell ref="G38:H38"/>
    <mergeCell ref="G39:H39"/>
    <mergeCell ref="C50:D55"/>
    <mergeCell ref="B42:F42"/>
  </mergeCells>
  <pageMargins left="0.70866141732283472" right="0.70866141732283472" top="0.74803149606299213" bottom="0.74803149606299213" header="0.31496062992125984" footer="0.31496062992125984"/>
  <pageSetup paperSize="9" scale="55"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8052FD-C0BD-4CF3-B0EF-6EB5C02102CE}">
  <dimension ref="A1:K67"/>
  <sheetViews>
    <sheetView showGridLines="0" zoomScale="80" zoomScaleNormal="80" zoomScaleSheetLayoutView="80" workbookViewId="0">
      <selection activeCell="F1" sqref="F1"/>
    </sheetView>
  </sheetViews>
  <sheetFormatPr baseColWidth="10" defaultColWidth="0" defaultRowHeight="14.5" x14ac:dyDescent="0.35"/>
  <cols>
    <col min="1" max="1" width="4.08984375" style="81" customWidth="1"/>
    <col min="2" max="2" width="5.90625" style="81" customWidth="1"/>
    <col min="3" max="3" width="15.90625" style="81" customWidth="1"/>
    <col min="4" max="4" width="24.453125" style="81" customWidth="1"/>
    <col min="5" max="5" width="25.6328125" style="81" customWidth="1"/>
    <col min="6" max="6" width="15.453125" style="82" customWidth="1"/>
    <col min="7" max="7" width="16.36328125" style="81" customWidth="1"/>
    <col min="8" max="8" width="7" style="81" customWidth="1"/>
    <col min="9" max="11" width="11.453125" style="81" hidden="1"/>
    <col min="12" max="12" width="0" style="81" hidden="1" customWidth="1"/>
    <col min="13" max="16384" width="0" style="81" hidden="1"/>
  </cols>
  <sheetData>
    <row r="1" spans="1:9" x14ac:dyDescent="0.35">
      <c r="G1" s="236" t="s">
        <v>12</v>
      </c>
      <c r="H1" s="236"/>
    </row>
    <row r="3" spans="1:9" ht="16.5" x14ac:dyDescent="0.35">
      <c r="A3" s="256" t="s">
        <v>137</v>
      </c>
      <c r="B3" s="256"/>
      <c r="C3" s="256"/>
      <c r="D3" s="256"/>
      <c r="E3" s="256"/>
      <c r="F3" s="256"/>
      <c r="G3" s="256"/>
    </row>
    <row r="5" spans="1:9" x14ac:dyDescent="0.35">
      <c r="B5" s="112" t="s">
        <v>69</v>
      </c>
      <c r="C5" s="113"/>
      <c r="D5" s="113"/>
      <c r="E5" s="113"/>
      <c r="F5" s="114"/>
      <c r="G5" s="115"/>
    </row>
    <row r="6" spans="1:9" x14ac:dyDescent="0.35">
      <c r="B6" s="116" t="s">
        <v>70</v>
      </c>
      <c r="F6" s="88"/>
      <c r="G6" s="117"/>
    </row>
    <row r="7" spans="1:9" x14ac:dyDescent="0.35">
      <c r="B7" s="118" t="s">
        <v>71</v>
      </c>
      <c r="C7" s="84"/>
      <c r="D7" s="84"/>
      <c r="E7" s="84"/>
      <c r="F7" s="85"/>
      <c r="G7" s="119"/>
    </row>
    <row r="9" spans="1:9" s="122" customFormat="1" ht="14.25" customHeight="1" x14ac:dyDescent="0.3">
      <c r="B9" s="259" t="s">
        <v>131</v>
      </c>
      <c r="C9" s="260"/>
      <c r="D9" s="260"/>
      <c r="E9" s="260"/>
      <c r="F9" s="260"/>
      <c r="G9" s="261"/>
    </row>
    <row r="10" spans="1:9" s="122" customFormat="1" ht="14.25" customHeight="1" x14ac:dyDescent="0.3">
      <c r="B10" s="262"/>
      <c r="C10" s="263"/>
      <c r="D10" s="263"/>
      <c r="E10" s="263"/>
      <c r="F10" s="263"/>
      <c r="G10" s="264"/>
    </row>
    <row r="11" spans="1:9" s="122" customFormat="1" ht="14.25" customHeight="1" x14ac:dyDescent="0.3">
      <c r="B11" s="265"/>
      <c r="C11" s="266"/>
      <c r="D11" s="266"/>
      <c r="E11" s="266"/>
      <c r="F11" s="266"/>
      <c r="G11" s="267"/>
    </row>
    <row r="12" spans="1:9" x14ac:dyDescent="0.35">
      <c r="B12" s="120"/>
      <c r="C12" s="120"/>
      <c r="D12" s="120"/>
      <c r="E12" s="120"/>
      <c r="F12" s="121"/>
      <c r="G12" s="120"/>
    </row>
    <row r="13" spans="1:9" ht="29.25" customHeight="1" x14ac:dyDescent="0.35">
      <c r="B13" s="125">
        <v>1</v>
      </c>
      <c r="C13" s="86" t="s">
        <v>103</v>
      </c>
      <c r="D13" s="87" t="s">
        <v>129</v>
      </c>
    </row>
    <row r="14" spans="1:9" s="91" customFormat="1" ht="12.75" customHeight="1" x14ac:dyDescent="0.25">
      <c r="B14" s="257" t="s">
        <v>104</v>
      </c>
      <c r="C14" s="257" t="s">
        <v>127</v>
      </c>
      <c r="D14" s="257" t="s">
        <v>125</v>
      </c>
      <c r="E14" s="257" t="s">
        <v>128</v>
      </c>
      <c r="F14" s="257" t="s">
        <v>124</v>
      </c>
      <c r="G14" s="257" t="s">
        <v>4</v>
      </c>
      <c r="H14" s="89"/>
      <c r="I14" s="90"/>
    </row>
    <row r="15" spans="1:9" s="90" customFormat="1" ht="18.75" customHeight="1" x14ac:dyDescent="0.25">
      <c r="B15" s="257"/>
      <c r="C15" s="257"/>
      <c r="D15" s="257"/>
      <c r="E15" s="257"/>
      <c r="F15" s="257"/>
      <c r="G15" s="257"/>
      <c r="H15" s="89"/>
    </row>
    <row r="16" spans="1:9" x14ac:dyDescent="0.35">
      <c r="B16" s="93">
        <v>1</v>
      </c>
      <c r="C16" s="94">
        <v>42942</v>
      </c>
      <c r="D16" s="93" t="s">
        <v>108</v>
      </c>
      <c r="E16" s="93" t="s">
        <v>109</v>
      </c>
      <c r="F16" s="93">
        <v>17220</v>
      </c>
      <c r="G16" s="95">
        <v>1500</v>
      </c>
      <c r="H16" s="96"/>
    </row>
    <row r="17" spans="2:8" x14ac:dyDescent="0.35">
      <c r="B17" s="97">
        <v>2</v>
      </c>
      <c r="C17" s="98" t="s">
        <v>110</v>
      </c>
      <c r="D17" s="93" t="s">
        <v>108</v>
      </c>
      <c r="E17" s="93" t="s">
        <v>112</v>
      </c>
      <c r="F17" s="97">
        <v>6019</v>
      </c>
      <c r="G17" s="99">
        <v>900</v>
      </c>
      <c r="H17" s="96"/>
    </row>
    <row r="18" spans="2:8" x14ac:dyDescent="0.35">
      <c r="B18" s="97"/>
      <c r="C18" s="98"/>
      <c r="D18" s="97"/>
      <c r="E18" s="97"/>
      <c r="F18" s="100"/>
      <c r="G18" s="99"/>
      <c r="H18" s="96"/>
    </row>
    <row r="19" spans="2:8" x14ac:dyDescent="0.35">
      <c r="B19" s="97"/>
      <c r="C19" s="98"/>
      <c r="D19" s="97"/>
      <c r="E19" s="97"/>
      <c r="F19" s="100"/>
      <c r="G19" s="99"/>
      <c r="H19" s="96"/>
    </row>
    <row r="20" spans="2:8" x14ac:dyDescent="0.35">
      <c r="B20" s="97"/>
      <c r="C20" s="98"/>
      <c r="D20" s="97"/>
      <c r="E20" s="97"/>
      <c r="F20" s="100"/>
      <c r="G20" s="101"/>
      <c r="H20" s="96"/>
    </row>
    <row r="21" spans="2:8" x14ac:dyDescent="0.35">
      <c r="B21" s="83"/>
      <c r="C21" s="124"/>
      <c r="D21" s="83"/>
      <c r="E21" s="83"/>
      <c r="F21" s="92" t="s">
        <v>126</v>
      </c>
      <c r="G21" s="102">
        <f>+SUM(G16:G20)</f>
        <v>2400</v>
      </c>
      <c r="H21" s="96"/>
    </row>
    <row r="22" spans="2:8" x14ac:dyDescent="0.35">
      <c r="F22" s="92" t="s">
        <v>123</v>
      </c>
      <c r="G22" s="102"/>
    </row>
    <row r="23" spans="2:8" x14ac:dyDescent="0.35">
      <c r="F23" s="92" t="s">
        <v>113</v>
      </c>
      <c r="G23" s="102">
        <f>G21+G22</f>
        <v>2400</v>
      </c>
    </row>
    <row r="24" spans="2:8" x14ac:dyDescent="0.35">
      <c r="G24" s="82"/>
    </row>
    <row r="25" spans="2:8" ht="15.5" x14ac:dyDescent="0.35">
      <c r="B25" s="125">
        <v>2</v>
      </c>
      <c r="C25" s="126" t="s">
        <v>114</v>
      </c>
      <c r="D25" s="87" t="s">
        <v>129</v>
      </c>
      <c r="G25" s="96"/>
    </row>
    <row r="26" spans="2:8" ht="15" customHeight="1" x14ac:dyDescent="0.35">
      <c r="B26" s="257" t="s">
        <v>104</v>
      </c>
      <c r="C26" s="257" t="s">
        <v>127</v>
      </c>
      <c r="D26" s="257" t="s">
        <v>125</v>
      </c>
      <c r="E26" s="257" t="s">
        <v>128</v>
      </c>
      <c r="F26" s="257" t="s">
        <v>124</v>
      </c>
      <c r="G26" s="257" t="s">
        <v>4</v>
      </c>
    </row>
    <row r="27" spans="2:8" x14ac:dyDescent="0.35">
      <c r="B27" s="257"/>
      <c r="C27" s="257"/>
      <c r="D27" s="257"/>
      <c r="E27" s="257"/>
      <c r="F27" s="257"/>
      <c r="G27" s="257"/>
    </row>
    <row r="28" spans="2:8" x14ac:dyDescent="0.35">
      <c r="B28" s="93">
        <v>1</v>
      </c>
      <c r="C28" s="103" t="s">
        <v>115</v>
      </c>
      <c r="D28" s="93" t="s">
        <v>116</v>
      </c>
      <c r="E28" s="93" t="s">
        <v>117</v>
      </c>
      <c r="F28" s="93">
        <v>8820</v>
      </c>
      <c r="G28" s="104">
        <v>80</v>
      </c>
    </row>
    <row r="29" spans="2:8" x14ac:dyDescent="0.35">
      <c r="B29" s="97">
        <v>2</v>
      </c>
      <c r="C29" s="105" t="s">
        <v>115</v>
      </c>
      <c r="D29" s="97" t="s">
        <v>118</v>
      </c>
      <c r="E29" s="93" t="s">
        <v>119</v>
      </c>
      <c r="F29" s="97">
        <v>1212</v>
      </c>
      <c r="G29" s="106">
        <v>150</v>
      </c>
    </row>
    <row r="30" spans="2:8" x14ac:dyDescent="0.35">
      <c r="B30" s="97"/>
      <c r="C30" s="105"/>
      <c r="D30" s="97"/>
      <c r="E30" s="97"/>
      <c r="F30" s="97"/>
      <c r="G30" s="106"/>
    </row>
    <row r="31" spans="2:8" x14ac:dyDescent="0.35">
      <c r="B31" s="97"/>
      <c r="C31" s="105"/>
      <c r="D31" s="97"/>
      <c r="E31" s="97"/>
      <c r="F31" s="97"/>
      <c r="G31" s="106"/>
    </row>
    <row r="32" spans="2:8" x14ac:dyDescent="0.35">
      <c r="B32" s="97"/>
      <c r="C32" s="105"/>
      <c r="D32" s="105"/>
      <c r="E32" s="97"/>
      <c r="F32" s="97"/>
      <c r="G32" s="97"/>
    </row>
    <row r="33" spans="2:7" x14ac:dyDescent="0.35">
      <c r="F33" s="92" t="s">
        <v>126</v>
      </c>
      <c r="G33" s="102">
        <f>+SUM(G28:G32)</f>
        <v>230</v>
      </c>
    </row>
    <row r="34" spans="2:7" x14ac:dyDescent="0.35">
      <c r="F34" s="92" t="s">
        <v>123</v>
      </c>
      <c r="G34" s="102"/>
    </row>
    <row r="35" spans="2:7" x14ac:dyDescent="0.35">
      <c r="F35" s="92" t="s">
        <v>113</v>
      </c>
      <c r="G35" s="102">
        <f>G33+G34</f>
        <v>230</v>
      </c>
    </row>
    <row r="37" spans="2:7" ht="15.5" x14ac:dyDescent="0.35">
      <c r="B37" s="86">
        <v>3</v>
      </c>
      <c r="C37" s="86" t="s">
        <v>133</v>
      </c>
      <c r="D37" s="87" t="s">
        <v>129</v>
      </c>
    </row>
    <row r="38" spans="2:7" s="83" customFormat="1" x14ac:dyDescent="0.35">
      <c r="B38" s="257" t="s">
        <v>104</v>
      </c>
      <c r="C38" s="257" t="s">
        <v>127</v>
      </c>
      <c r="D38" s="257" t="s">
        <v>125</v>
      </c>
      <c r="E38" s="257" t="s">
        <v>128</v>
      </c>
      <c r="F38" s="257" t="s">
        <v>124</v>
      </c>
      <c r="G38" s="257" t="s">
        <v>4</v>
      </c>
    </row>
    <row r="39" spans="2:7" s="83" customFormat="1" x14ac:dyDescent="0.35">
      <c r="B39" s="257"/>
      <c r="C39" s="257"/>
      <c r="D39" s="257"/>
      <c r="E39" s="257"/>
      <c r="F39" s="257"/>
      <c r="G39" s="257"/>
    </row>
    <row r="40" spans="2:7" x14ac:dyDescent="0.35">
      <c r="B40" s="93">
        <v>1</v>
      </c>
      <c r="C40" s="94">
        <v>42942</v>
      </c>
      <c r="D40" s="93"/>
      <c r="E40" s="93" t="s">
        <v>120</v>
      </c>
      <c r="F40" s="93">
        <v>128172</v>
      </c>
      <c r="G40" s="95">
        <v>45</v>
      </c>
    </row>
    <row r="41" spans="2:7" x14ac:dyDescent="0.35">
      <c r="B41" s="97">
        <v>2</v>
      </c>
      <c r="C41" s="98" t="s">
        <v>111</v>
      </c>
      <c r="D41" s="97"/>
      <c r="E41" s="97" t="s">
        <v>121</v>
      </c>
      <c r="F41" s="97">
        <v>20171</v>
      </c>
      <c r="G41" s="99">
        <v>55</v>
      </c>
    </row>
    <row r="42" spans="2:7" x14ac:dyDescent="0.35">
      <c r="B42" s="97"/>
      <c r="C42" s="98"/>
      <c r="D42" s="97"/>
      <c r="E42" s="97"/>
      <c r="F42" s="97"/>
      <c r="G42" s="99"/>
    </row>
    <row r="43" spans="2:7" x14ac:dyDescent="0.35">
      <c r="B43" s="97"/>
      <c r="C43" s="98"/>
      <c r="D43" s="97"/>
      <c r="E43" s="97"/>
      <c r="F43" s="97"/>
      <c r="G43" s="99"/>
    </row>
    <row r="44" spans="2:7" x14ac:dyDescent="0.35">
      <c r="B44" s="97"/>
      <c r="C44" s="98"/>
      <c r="D44" s="105"/>
      <c r="E44" s="105"/>
      <c r="F44" s="97"/>
      <c r="G44" s="101"/>
    </row>
    <row r="45" spans="2:7" x14ac:dyDescent="0.35">
      <c r="B45" s="83"/>
      <c r="C45" s="124"/>
      <c r="D45" s="127"/>
      <c r="E45" s="127"/>
      <c r="F45" s="97"/>
      <c r="G45" s="101"/>
    </row>
    <row r="46" spans="2:7" x14ac:dyDescent="0.35">
      <c r="B46" s="83"/>
      <c r="C46" s="124"/>
      <c r="D46" s="127"/>
      <c r="E46" s="127"/>
      <c r="F46" s="97"/>
      <c r="G46" s="101"/>
    </row>
    <row r="47" spans="2:7" x14ac:dyDescent="0.35">
      <c r="F47" s="92" t="s">
        <v>126</v>
      </c>
      <c r="G47" s="102">
        <f>+SUM(G40:G46)</f>
        <v>100</v>
      </c>
    </row>
    <row r="48" spans="2:7" x14ac:dyDescent="0.35">
      <c r="F48" s="92" t="s">
        <v>123</v>
      </c>
      <c r="G48" s="102"/>
    </row>
    <row r="49" spans="2:7" x14ac:dyDescent="0.35">
      <c r="F49" s="92" t="s">
        <v>113</v>
      </c>
      <c r="G49" s="102">
        <f>G47+G48</f>
        <v>100</v>
      </c>
    </row>
    <row r="52" spans="2:7" ht="15.5" x14ac:dyDescent="0.35">
      <c r="B52" s="86">
        <v>4</v>
      </c>
      <c r="C52" s="86" t="s">
        <v>132</v>
      </c>
    </row>
    <row r="53" spans="2:7" ht="23.25" customHeight="1" x14ac:dyDescent="0.35">
      <c r="B53" s="92" t="s">
        <v>104</v>
      </c>
      <c r="C53" s="92" t="s">
        <v>105</v>
      </c>
      <c r="D53" s="269" t="s">
        <v>106</v>
      </c>
      <c r="E53" s="270"/>
      <c r="F53" s="271"/>
      <c r="G53" s="107" t="s">
        <v>107</v>
      </c>
    </row>
    <row r="54" spans="2:7" x14ac:dyDescent="0.35">
      <c r="B54" s="93"/>
      <c r="C54" s="103"/>
      <c r="D54" s="272"/>
      <c r="E54" s="273"/>
      <c r="F54" s="274"/>
      <c r="G54" s="95"/>
    </row>
    <row r="55" spans="2:7" x14ac:dyDescent="0.35">
      <c r="B55" s="97"/>
      <c r="C55" s="105"/>
      <c r="D55" s="272"/>
      <c r="E55" s="273"/>
      <c r="F55" s="274"/>
      <c r="G55" s="99"/>
    </row>
    <row r="56" spans="2:7" x14ac:dyDescent="0.35">
      <c r="B56" s="97"/>
      <c r="C56" s="105"/>
      <c r="D56" s="272"/>
      <c r="E56" s="273"/>
      <c r="F56" s="274"/>
      <c r="G56" s="99"/>
    </row>
    <row r="57" spans="2:7" x14ac:dyDescent="0.35">
      <c r="B57" s="97"/>
      <c r="C57" s="105"/>
      <c r="D57" s="272"/>
      <c r="E57" s="273"/>
      <c r="F57" s="274"/>
      <c r="G57" s="99"/>
    </row>
    <row r="58" spans="2:7" x14ac:dyDescent="0.35">
      <c r="B58" s="97"/>
      <c r="C58" s="105"/>
      <c r="D58" s="272"/>
      <c r="E58" s="273"/>
      <c r="F58" s="274"/>
      <c r="G58" s="101"/>
    </row>
    <row r="59" spans="2:7" x14ac:dyDescent="0.35">
      <c r="F59" s="92" t="s">
        <v>113</v>
      </c>
      <c r="G59" s="102">
        <f>+SUM(G54:G58)</f>
        <v>0</v>
      </c>
    </row>
    <row r="60" spans="2:7" x14ac:dyDescent="0.35">
      <c r="F60" s="88"/>
    </row>
    <row r="61" spans="2:7" x14ac:dyDescent="0.35">
      <c r="F61" s="268"/>
      <c r="G61" s="268"/>
    </row>
    <row r="62" spans="2:7" x14ac:dyDescent="0.35">
      <c r="F62" s="123" t="s">
        <v>134</v>
      </c>
      <c r="G62" s="128">
        <v>500</v>
      </c>
    </row>
    <row r="63" spans="2:7" x14ac:dyDescent="0.35">
      <c r="F63" s="123" t="s">
        <v>135</v>
      </c>
      <c r="G63" s="128">
        <f>+G22+G33+G47+G59</f>
        <v>330</v>
      </c>
    </row>
    <row r="64" spans="2:7" x14ac:dyDescent="0.35">
      <c r="F64" s="123" t="s">
        <v>113</v>
      </c>
      <c r="G64" s="128">
        <f>+G62-G63</f>
        <v>170</v>
      </c>
    </row>
    <row r="65" spans="2:7" x14ac:dyDescent="0.35">
      <c r="F65" s="123"/>
      <c r="G65" s="128"/>
    </row>
    <row r="66" spans="2:7" x14ac:dyDescent="0.35">
      <c r="F66" s="108" t="s">
        <v>136</v>
      </c>
      <c r="G66" s="129">
        <f>'RESUMEN DE GASTOS '!G40:H40-'DETALLE COMPROBACIÓN'!G64</f>
        <v>180</v>
      </c>
    </row>
    <row r="67" spans="2:7" x14ac:dyDescent="0.35">
      <c r="B67" s="258" t="s">
        <v>122</v>
      </c>
      <c r="C67" s="258"/>
    </row>
  </sheetData>
  <mergeCells count="29">
    <mergeCell ref="G1:H1"/>
    <mergeCell ref="B67:C67"/>
    <mergeCell ref="C14:C15"/>
    <mergeCell ref="F14:F15"/>
    <mergeCell ref="F26:F27"/>
    <mergeCell ref="B9:G11"/>
    <mergeCell ref="C38:C39"/>
    <mergeCell ref="F38:F39"/>
    <mergeCell ref="F61:G61"/>
    <mergeCell ref="D53:F53"/>
    <mergeCell ref="D54:F54"/>
    <mergeCell ref="D55:F55"/>
    <mergeCell ref="D56:F56"/>
    <mergeCell ref="D57:F57"/>
    <mergeCell ref="D58:F58"/>
    <mergeCell ref="G26:G27"/>
    <mergeCell ref="B38:B39"/>
    <mergeCell ref="D38:D39"/>
    <mergeCell ref="E38:E39"/>
    <mergeCell ref="G38:G39"/>
    <mergeCell ref="B26:B27"/>
    <mergeCell ref="C26:C27"/>
    <mergeCell ref="D26:D27"/>
    <mergeCell ref="E26:E27"/>
    <mergeCell ref="A3:G3"/>
    <mergeCell ref="B14:B15"/>
    <mergeCell ref="D14:D15"/>
    <mergeCell ref="E14:E15"/>
    <mergeCell ref="G14:G15"/>
  </mergeCells>
  <pageMargins left="0.70866141732283472" right="0.70866141732283472" top="0.74803149606299213" bottom="0.74803149606299213" header="0.31496062992125984" footer="0.31496062992125984"/>
  <pageSetup paperSize="9" scale="7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745A2-00A1-4DD6-B027-BBA5C5D47FA1}">
  <sheetPr>
    <pageSetUpPr fitToPage="1"/>
  </sheetPr>
  <dimension ref="A1:M60"/>
  <sheetViews>
    <sheetView showGridLines="0" tabSelected="1" zoomScale="80" zoomScaleNormal="80" zoomScaleSheetLayoutView="80" workbookViewId="0">
      <selection activeCell="F34" sqref="F34:I34"/>
    </sheetView>
  </sheetViews>
  <sheetFormatPr baseColWidth="10" defaultColWidth="0" defaultRowHeight="12.5" zeroHeight="1" x14ac:dyDescent="0.25"/>
  <cols>
    <col min="1" max="1" width="3.36328125" style="109" bestFit="1" customWidth="1"/>
    <col min="2" max="2" width="20.54296875" style="109" customWidth="1"/>
    <col min="3" max="3" width="42.6328125" style="109" bestFit="1" customWidth="1"/>
    <col min="4" max="4" width="52.81640625" style="109" bestFit="1" customWidth="1"/>
    <col min="5" max="5" width="34.90625" style="109" customWidth="1"/>
    <col min="6" max="6" width="11.453125" style="109" customWidth="1"/>
    <col min="7" max="7" width="15" style="109" customWidth="1"/>
    <col min="8" max="8" width="31.08984375" style="109" customWidth="1"/>
    <col min="9" max="9" width="27.54296875" style="109" customWidth="1"/>
    <col min="10" max="10" width="4.54296875" style="109" customWidth="1"/>
    <col min="11" max="12" width="11.453125" style="109" customWidth="1"/>
    <col min="13" max="13" width="0" style="109" hidden="1" customWidth="1"/>
    <col min="14" max="16384" width="11.453125" style="109" hidden="1"/>
  </cols>
  <sheetData>
    <row r="1" spans="2:12" customFormat="1" x14ac:dyDescent="0.25"/>
    <row r="2" spans="2:12" customFormat="1" ht="23.25" customHeight="1" x14ac:dyDescent="0.25">
      <c r="B2" s="191"/>
      <c r="C2" s="191"/>
      <c r="D2" s="299" t="s">
        <v>157</v>
      </c>
      <c r="E2" s="300"/>
      <c r="F2" s="301"/>
      <c r="G2" s="309" t="s">
        <v>156</v>
      </c>
      <c r="H2" s="309"/>
      <c r="I2" s="309"/>
    </row>
    <row r="3" spans="2:12" customFormat="1" ht="24" customHeight="1" x14ac:dyDescent="0.25">
      <c r="B3" s="191"/>
      <c r="C3" s="191"/>
      <c r="D3" s="302"/>
      <c r="E3" s="303"/>
      <c r="F3" s="304"/>
      <c r="G3" s="309" t="s">
        <v>154</v>
      </c>
      <c r="H3" s="309"/>
      <c r="I3" s="309"/>
    </row>
    <row r="4" spans="2:12" customFormat="1" ht="23.25" customHeight="1" x14ac:dyDescent="0.25">
      <c r="B4" s="191"/>
      <c r="C4" s="191"/>
      <c r="D4" s="305"/>
      <c r="E4" s="306"/>
      <c r="F4" s="306"/>
      <c r="G4" s="307" t="s">
        <v>155</v>
      </c>
      <c r="H4" s="308"/>
      <c r="I4" s="149">
        <f ca="1">TODAY()</f>
        <v>45874</v>
      </c>
    </row>
    <row r="5" spans="2:12" x14ac:dyDescent="0.25">
      <c r="J5"/>
      <c r="K5"/>
    </row>
    <row r="6" spans="2:12" customFormat="1" ht="14" x14ac:dyDescent="0.3">
      <c r="D6" s="109"/>
      <c r="E6" s="141"/>
      <c r="F6" s="142"/>
      <c r="G6" s="142"/>
      <c r="H6" s="142"/>
      <c r="I6" s="142"/>
    </row>
    <row r="7" spans="2:12" customFormat="1" x14ac:dyDescent="0.25"/>
    <row r="8" spans="2:12" customFormat="1" ht="15.75" customHeight="1" x14ac:dyDescent="0.25">
      <c r="B8" s="173" t="s">
        <v>68</v>
      </c>
      <c r="C8" s="174"/>
      <c r="D8" s="174"/>
      <c r="E8" s="174"/>
      <c r="F8" s="174"/>
      <c r="G8" s="174"/>
      <c r="H8" s="174"/>
      <c r="I8" s="174"/>
    </row>
    <row r="9" spans="2:12" customFormat="1" ht="16.5" customHeight="1" x14ac:dyDescent="0.25">
      <c r="B9" s="164" t="s">
        <v>92</v>
      </c>
      <c r="C9" s="164"/>
      <c r="D9" s="289"/>
      <c r="E9" s="289"/>
      <c r="F9" s="289"/>
      <c r="G9" s="289"/>
      <c r="H9" s="289"/>
      <c r="I9" s="289"/>
    </row>
    <row r="10" spans="2:12" customFormat="1" ht="18.75" customHeight="1" x14ac:dyDescent="0.25">
      <c r="B10" s="164" t="s">
        <v>90</v>
      </c>
      <c r="C10" s="164"/>
      <c r="D10" s="289"/>
      <c r="E10" s="289"/>
      <c r="F10" s="289"/>
      <c r="G10" s="289"/>
      <c r="H10" s="289"/>
      <c r="I10" s="289"/>
    </row>
    <row r="11" spans="2:12" customFormat="1" ht="16.5" customHeight="1" x14ac:dyDescent="0.25">
      <c r="B11" s="164" t="s">
        <v>141</v>
      </c>
      <c r="C11" s="164"/>
      <c r="D11" s="289"/>
      <c r="E11" s="289"/>
      <c r="F11" s="289"/>
      <c r="G11" s="289"/>
      <c r="H11" s="289"/>
      <c r="I11" s="289"/>
    </row>
    <row r="12" spans="2:12" customFormat="1" ht="16.5" customHeight="1" x14ac:dyDescent="0.25">
      <c r="B12" s="292" t="s">
        <v>158</v>
      </c>
      <c r="C12" s="293"/>
      <c r="D12" s="294"/>
      <c r="E12" s="295"/>
      <c r="F12" s="295"/>
      <c r="G12" s="295"/>
      <c r="H12" s="295"/>
      <c r="I12" s="296"/>
    </row>
    <row r="13" spans="2:12" customFormat="1" ht="15.75" customHeight="1" x14ac:dyDescent="0.3">
      <c r="B13" s="297" t="s">
        <v>139</v>
      </c>
      <c r="C13" s="298"/>
      <c r="D13" s="298"/>
      <c r="E13" s="298"/>
      <c r="F13" s="298"/>
      <c r="G13" s="298"/>
      <c r="H13" s="298"/>
      <c r="I13" s="298"/>
    </row>
    <row r="14" spans="2:12" customFormat="1" ht="21.75" customHeight="1" x14ac:dyDescent="0.25">
      <c r="B14" s="181" t="s">
        <v>140</v>
      </c>
      <c r="C14" s="181"/>
      <c r="D14" s="289"/>
      <c r="E14" s="289"/>
      <c r="F14" s="289"/>
      <c r="G14" s="289"/>
      <c r="H14" s="289"/>
      <c r="I14" s="289"/>
    </row>
    <row r="15" spans="2:12" customFormat="1" ht="30" customHeight="1" x14ac:dyDescent="0.25">
      <c r="B15" s="181" t="s">
        <v>142</v>
      </c>
      <c r="C15" s="181"/>
      <c r="D15" s="289"/>
      <c r="E15" s="289"/>
      <c r="F15" s="289"/>
      <c r="G15" s="289"/>
      <c r="H15" s="289"/>
      <c r="I15" s="289"/>
      <c r="L15" s="1"/>
    </row>
    <row r="16" spans="2:12" ht="14.5" x14ac:dyDescent="0.35">
      <c r="H16" s="110"/>
      <c r="I16" s="111"/>
    </row>
    <row r="17" spans="2:9" customFormat="1" ht="21" customHeight="1" x14ac:dyDescent="0.25">
      <c r="B17" s="173" t="s">
        <v>67</v>
      </c>
      <c r="C17" s="174"/>
      <c r="D17" s="174"/>
      <c r="E17" s="174"/>
      <c r="F17" s="174"/>
      <c r="G17" s="174"/>
      <c r="H17" s="174"/>
      <c r="I17" s="174"/>
    </row>
    <row r="18" spans="2:9" s="138" customFormat="1" ht="14.25" customHeight="1" x14ac:dyDescent="0.3">
      <c r="B18" s="275" t="s">
        <v>144</v>
      </c>
      <c r="C18" s="275"/>
      <c r="D18" s="275"/>
      <c r="E18" s="275"/>
      <c r="F18" s="275" t="s">
        <v>143</v>
      </c>
      <c r="G18" s="275"/>
      <c r="H18" s="275"/>
      <c r="I18" s="275"/>
    </row>
    <row r="19" spans="2:9" ht="32.25" customHeight="1" x14ac:dyDescent="0.25">
      <c r="B19" s="151" t="s">
        <v>145</v>
      </c>
      <c r="C19" s="151" t="s">
        <v>146</v>
      </c>
      <c r="D19" s="152" t="s">
        <v>147</v>
      </c>
      <c r="E19" s="152" t="s">
        <v>11</v>
      </c>
      <c r="F19" s="152" t="s">
        <v>148</v>
      </c>
      <c r="G19" s="152" t="s">
        <v>135</v>
      </c>
      <c r="H19" s="152" t="s">
        <v>0</v>
      </c>
      <c r="I19" s="152" t="s">
        <v>149</v>
      </c>
    </row>
    <row r="20" spans="2:9" ht="25.5" customHeight="1" x14ac:dyDescent="0.25">
      <c r="B20" s="130"/>
      <c r="C20" s="131"/>
      <c r="D20" s="131"/>
      <c r="E20" s="139"/>
      <c r="F20" s="132"/>
      <c r="G20" s="132"/>
      <c r="H20" s="132"/>
      <c r="I20" s="132"/>
    </row>
    <row r="21" spans="2:9" ht="21" customHeight="1" x14ac:dyDescent="0.25">
      <c r="B21" s="130"/>
      <c r="C21" s="131"/>
      <c r="D21" s="131"/>
      <c r="E21" s="139"/>
      <c r="F21" s="134"/>
      <c r="G21" s="134"/>
      <c r="H21" s="134"/>
      <c r="I21" s="134"/>
    </row>
    <row r="22" spans="2:9" ht="19.5" customHeight="1" x14ac:dyDescent="0.25">
      <c r="B22" s="130"/>
      <c r="C22" s="135"/>
      <c r="D22" s="136"/>
      <c r="E22" s="140"/>
      <c r="F22" s="134"/>
      <c r="G22" s="134"/>
      <c r="H22" s="134"/>
      <c r="I22" s="134"/>
    </row>
    <row r="23" spans="2:9" ht="19.5" customHeight="1" x14ac:dyDescent="0.25">
      <c r="B23" s="130"/>
      <c r="C23" s="135"/>
      <c r="D23" s="136"/>
      <c r="E23" s="160"/>
      <c r="F23" s="134"/>
      <c r="G23" s="134"/>
      <c r="H23" s="134"/>
      <c r="I23" s="134"/>
    </row>
    <row r="24" spans="2:9" ht="19.5" customHeight="1" x14ac:dyDescent="0.25">
      <c r="B24" s="130"/>
      <c r="C24" s="135"/>
      <c r="D24" s="136"/>
      <c r="E24" s="160"/>
      <c r="F24" s="134"/>
      <c r="G24" s="134"/>
      <c r="H24" s="134"/>
      <c r="I24" s="134"/>
    </row>
    <row r="25" spans="2:9" ht="19.5" customHeight="1" x14ac:dyDescent="0.25">
      <c r="B25" s="130"/>
      <c r="C25" s="135"/>
      <c r="D25" s="136"/>
      <c r="E25" s="140"/>
      <c r="F25" s="134"/>
      <c r="G25" s="134"/>
      <c r="H25" s="134"/>
      <c r="I25" s="134"/>
    </row>
    <row r="26" spans="2:9" ht="19.5" customHeight="1" x14ac:dyDescent="0.25">
      <c r="B26" s="130"/>
      <c r="C26" s="135"/>
      <c r="D26" s="136"/>
      <c r="E26" s="160"/>
      <c r="F26" s="134"/>
      <c r="G26" s="134"/>
      <c r="H26" s="134"/>
      <c r="I26" s="134"/>
    </row>
    <row r="27" spans="2:9" ht="19.5" customHeight="1" x14ac:dyDescent="0.25">
      <c r="B27" s="130"/>
      <c r="C27" s="135"/>
      <c r="D27" s="136"/>
      <c r="E27" s="163"/>
      <c r="F27" s="134"/>
      <c r="G27" s="134"/>
      <c r="H27" s="134"/>
      <c r="I27" s="134"/>
    </row>
    <row r="28" spans="2:9" ht="19.5" customHeight="1" x14ac:dyDescent="0.25">
      <c r="B28" s="133"/>
      <c r="C28" s="135"/>
      <c r="D28" s="136"/>
      <c r="E28" s="140"/>
      <c r="F28" s="134"/>
      <c r="G28" s="134"/>
      <c r="H28" s="134"/>
      <c r="I28" s="134"/>
    </row>
    <row r="29" spans="2:9" ht="19.5" customHeight="1" x14ac:dyDescent="0.25">
      <c r="B29" s="133"/>
      <c r="C29" s="135"/>
      <c r="D29" s="136"/>
      <c r="E29" s="140"/>
      <c r="F29" s="134"/>
      <c r="G29" s="134"/>
      <c r="H29" s="134"/>
      <c r="I29" s="134"/>
    </row>
    <row r="30" spans="2:9" ht="17.25" customHeight="1" x14ac:dyDescent="0.3">
      <c r="B30" s="290" t="s">
        <v>113</v>
      </c>
      <c r="C30" s="291"/>
      <c r="D30" s="291"/>
      <c r="E30" s="291"/>
      <c r="F30" s="137">
        <v>0</v>
      </c>
      <c r="G30" s="137">
        <v>0</v>
      </c>
      <c r="H30" s="134"/>
      <c r="I30" s="137">
        <v>0</v>
      </c>
    </row>
    <row r="31" spans="2:9" x14ac:dyDescent="0.25">
      <c r="H31" s="162"/>
    </row>
    <row r="32" spans="2:9" x14ac:dyDescent="0.25"/>
    <row r="33" spans="2:9" customFormat="1" ht="21" customHeight="1" x14ac:dyDescent="0.25">
      <c r="B33" s="277" t="s">
        <v>82</v>
      </c>
      <c r="C33" s="277"/>
      <c r="D33" s="277"/>
      <c r="E33" s="277"/>
      <c r="F33" s="276">
        <v>0</v>
      </c>
      <c r="G33" s="276"/>
      <c r="H33" s="276"/>
      <c r="I33" s="276"/>
    </row>
    <row r="34" spans="2:9" customFormat="1" ht="21" customHeight="1" x14ac:dyDescent="0.25">
      <c r="B34" s="277" t="s">
        <v>86</v>
      </c>
      <c r="C34" s="277"/>
      <c r="D34" s="277"/>
      <c r="E34" s="277"/>
      <c r="F34" s="276">
        <f>H30+I30</f>
        <v>0</v>
      </c>
      <c r="G34" s="276"/>
      <c r="H34" s="276"/>
      <c r="I34" s="276"/>
    </row>
    <row r="35" spans="2:9" customFormat="1" ht="21" customHeight="1" x14ac:dyDescent="0.25">
      <c r="B35" s="277" t="s">
        <v>83</v>
      </c>
      <c r="C35" s="277"/>
      <c r="D35" s="277"/>
      <c r="E35" s="277"/>
      <c r="F35" s="278">
        <f>F33-F34</f>
        <v>0</v>
      </c>
      <c r="G35" s="278"/>
      <c r="H35" s="278"/>
      <c r="I35" s="278"/>
    </row>
    <row r="36" spans="2:9" x14ac:dyDescent="0.25"/>
    <row r="37" spans="2:9" x14ac:dyDescent="0.25"/>
    <row r="38" spans="2:9" x14ac:dyDescent="0.25"/>
    <row r="39" spans="2:9" customFormat="1" ht="15.5" x14ac:dyDescent="0.25">
      <c r="B39" s="279" t="s">
        <v>138</v>
      </c>
      <c r="C39" s="200"/>
      <c r="D39" s="200"/>
      <c r="E39" s="200"/>
      <c r="F39" s="200"/>
      <c r="G39" s="200"/>
      <c r="H39" s="200"/>
      <c r="I39" s="200"/>
    </row>
    <row r="40" spans="2:9" customFormat="1" x14ac:dyDescent="0.25">
      <c r="B40" s="280"/>
      <c r="C40" s="281"/>
      <c r="D40" s="281"/>
      <c r="E40" s="281"/>
      <c r="F40" s="281"/>
      <c r="G40" s="281"/>
      <c r="H40" s="281"/>
      <c r="I40" s="282"/>
    </row>
    <row r="41" spans="2:9" customFormat="1" x14ac:dyDescent="0.25">
      <c r="B41" s="283"/>
      <c r="C41" s="284"/>
      <c r="D41" s="284"/>
      <c r="E41" s="284"/>
      <c r="F41" s="284"/>
      <c r="G41" s="284"/>
      <c r="H41" s="284"/>
      <c r="I41" s="285"/>
    </row>
    <row r="42" spans="2:9" customFormat="1" x14ac:dyDescent="0.25">
      <c r="B42" s="283"/>
      <c r="C42" s="284"/>
      <c r="D42" s="284"/>
      <c r="E42" s="284"/>
      <c r="F42" s="284"/>
      <c r="G42" s="284"/>
      <c r="H42" s="284"/>
      <c r="I42" s="285"/>
    </row>
    <row r="43" spans="2:9" customFormat="1" x14ac:dyDescent="0.25">
      <c r="B43" s="283"/>
      <c r="C43" s="284"/>
      <c r="D43" s="284"/>
      <c r="E43" s="284"/>
      <c r="F43" s="284"/>
      <c r="G43" s="284"/>
      <c r="H43" s="284"/>
      <c r="I43" s="285"/>
    </row>
    <row r="44" spans="2:9" customFormat="1" x14ac:dyDescent="0.25">
      <c r="B44" s="286"/>
      <c r="C44" s="287"/>
      <c r="D44" s="287"/>
      <c r="E44" s="287"/>
      <c r="F44" s="287"/>
      <c r="G44" s="287"/>
      <c r="H44" s="287"/>
      <c r="I44" s="288"/>
    </row>
    <row r="45" spans="2:9" customFormat="1" ht="24" customHeight="1" x14ac:dyDescent="0.25">
      <c r="B45" s="201" t="s">
        <v>92</v>
      </c>
      <c r="C45" s="202"/>
      <c r="D45" s="202"/>
      <c r="E45" s="202"/>
      <c r="F45" s="202"/>
      <c r="G45" s="202"/>
      <c r="H45" s="202"/>
      <c r="I45" s="203"/>
    </row>
    <row r="46" spans="2:9" customFormat="1" ht="20.25" customHeight="1" x14ac:dyDescent="0.25">
      <c r="B46" s="204" t="s">
        <v>150</v>
      </c>
      <c r="C46" s="205"/>
      <c r="D46" s="205"/>
      <c r="E46" s="205"/>
      <c r="F46" s="205"/>
      <c r="G46" s="205"/>
      <c r="H46" s="205"/>
      <c r="I46" s="206"/>
    </row>
    <row r="47" spans="2:9" customFormat="1" x14ac:dyDescent="0.25"/>
    <row r="48" spans="2:9" s="59" customFormat="1" ht="13" x14ac:dyDescent="0.3">
      <c r="B48" s="59" t="s">
        <v>84</v>
      </c>
      <c r="C48"/>
      <c r="D48"/>
      <c r="E48"/>
      <c r="F48"/>
      <c r="G48"/>
      <c r="H48"/>
      <c r="I48"/>
    </row>
    <row r="49" spans="2:9" customFormat="1" x14ac:dyDescent="0.25"/>
    <row r="50" spans="2:9" x14ac:dyDescent="0.25">
      <c r="B50" s="158"/>
      <c r="C50" s="74"/>
      <c r="D50" s="74"/>
      <c r="E50" s="74"/>
      <c r="F50" s="74"/>
      <c r="G50" s="74"/>
      <c r="H50" s="74"/>
      <c r="I50" s="75"/>
    </row>
    <row r="51" spans="2:9" x14ac:dyDescent="0.25">
      <c r="B51" s="159"/>
      <c r="C51"/>
      <c r="D51"/>
      <c r="E51"/>
      <c r="F51"/>
      <c r="G51"/>
      <c r="H51"/>
      <c r="I51" s="77"/>
    </row>
    <row r="52" spans="2:9" x14ac:dyDescent="0.25">
      <c r="B52" s="159"/>
      <c r="C52"/>
      <c r="D52"/>
      <c r="E52"/>
      <c r="F52"/>
      <c r="G52"/>
      <c r="H52"/>
      <c r="I52" s="77"/>
    </row>
    <row r="53" spans="2:9" x14ac:dyDescent="0.25">
      <c r="B53" s="159"/>
      <c r="C53"/>
      <c r="D53"/>
      <c r="E53"/>
      <c r="F53"/>
      <c r="G53"/>
      <c r="H53"/>
      <c r="I53" s="77"/>
    </row>
    <row r="54" spans="2:9" x14ac:dyDescent="0.25">
      <c r="B54" s="153"/>
      <c r="I54" s="154"/>
    </row>
    <row r="55" spans="2:9" x14ac:dyDescent="0.25">
      <c r="B55" s="153"/>
      <c r="I55" s="154"/>
    </row>
    <row r="56" spans="2:9" x14ac:dyDescent="0.25">
      <c r="B56" s="153"/>
      <c r="I56" s="154"/>
    </row>
    <row r="57" spans="2:9" x14ac:dyDescent="0.25">
      <c r="B57" s="155"/>
      <c r="C57" s="156"/>
      <c r="D57" s="156"/>
      <c r="E57" s="156"/>
      <c r="F57" s="156"/>
      <c r="G57" s="156"/>
      <c r="H57" s="156"/>
      <c r="I57" s="157"/>
    </row>
    <row r="58" spans="2:9" x14ac:dyDescent="0.25"/>
    <row r="59" spans="2:9" x14ac:dyDescent="0.25"/>
    <row r="60" spans="2:9" x14ac:dyDescent="0.25"/>
  </sheetData>
  <mergeCells count="33">
    <mergeCell ref="B13:I13"/>
    <mergeCell ref="B2:C4"/>
    <mergeCell ref="D2:F4"/>
    <mergeCell ref="G4:H4"/>
    <mergeCell ref="G2:I2"/>
    <mergeCell ref="G3:I3"/>
    <mergeCell ref="B8:I8"/>
    <mergeCell ref="B45:I45"/>
    <mergeCell ref="B46:I46"/>
    <mergeCell ref="B34:E34"/>
    <mergeCell ref="B15:C15"/>
    <mergeCell ref="D9:I9"/>
    <mergeCell ref="D15:I15"/>
    <mergeCell ref="B9:C9"/>
    <mergeCell ref="B10:C10"/>
    <mergeCell ref="B11:C11"/>
    <mergeCell ref="D10:I10"/>
    <mergeCell ref="D11:I11"/>
    <mergeCell ref="B30:E30"/>
    <mergeCell ref="D14:I14"/>
    <mergeCell ref="B14:C14"/>
    <mergeCell ref="B12:C12"/>
    <mergeCell ref="D12:I12"/>
    <mergeCell ref="F35:I35"/>
    <mergeCell ref="B35:E35"/>
    <mergeCell ref="B39:I39"/>
    <mergeCell ref="F34:I34"/>
    <mergeCell ref="B40:I44"/>
    <mergeCell ref="B17:I17"/>
    <mergeCell ref="F18:I18"/>
    <mergeCell ref="B18:E18"/>
    <mergeCell ref="F33:I33"/>
    <mergeCell ref="B33:E33"/>
  </mergeCells>
  <dataValidations count="1">
    <dataValidation type="list" allowBlank="1" showInputMessage="1" showErrorMessage="1" promptTitle="Selecciónar el rubro del gasto" sqref="E20:E29" xr:uid="{AC1B9775-1BE4-4AA1-9B50-D5BA9730A422}">
      <formula1>"Alimentos, Taxi, Gasolina, Casetas, Autobus, Hospedaje, Uber/Didi,Cabify/, Renta Auto, Otro"</formula1>
    </dataValidation>
  </dataValidations>
  <pageMargins left="0.70866141732283472" right="0.70866141732283472" top="0.74803149606299213" bottom="0.74803149606299213" header="0.31496062992125984" footer="0.31496062992125984"/>
  <pageSetup scale="5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52F7C-027A-48E1-88D3-0BD3156DCB8B}">
  <dimension ref="E4:Q50"/>
  <sheetViews>
    <sheetView showGridLines="0" zoomScale="70" zoomScaleNormal="70" workbookViewId="0">
      <selection activeCell="E4" sqref="E4"/>
    </sheetView>
  </sheetViews>
  <sheetFormatPr baseColWidth="10" defaultRowHeight="12.5" x14ac:dyDescent="0.25"/>
  <cols>
    <col min="7" max="7" width="31.90625" customWidth="1"/>
    <col min="8" max="8" width="29.36328125" customWidth="1"/>
    <col min="9" max="9" width="24.6328125" customWidth="1"/>
    <col min="10" max="10" width="13.36328125" customWidth="1"/>
    <col min="11" max="11" width="14.08984375" customWidth="1"/>
  </cols>
  <sheetData>
    <row r="4" spans="5:8" x14ac:dyDescent="0.25">
      <c r="E4" s="1" t="s">
        <v>130</v>
      </c>
    </row>
    <row r="11" spans="5:8" ht="13" x14ac:dyDescent="0.25">
      <c r="G11" s="6" t="s">
        <v>14</v>
      </c>
      <c r="H11" s="6" t="s">
        <v>15</v>
      </c>
    </row>
    <row r="12" spans="5:8" ht="36.75" customHeight="1" x14ac:dyDescent="0.25">
      <c r="G12" s="5" t="s">
        <v>20</v>
      </c>
      <c r="H12" s="5" t="s">
        <v>16</v>
      </c>
    </row>
    <row r="13" spans="5:8" x14ac:dyDescent="0.25">
      <c r="G13" s="5" t="s">
        <v>17</v>
      </c>
      <c r="H13" s="5" t="s">
        <v>16</v>
      </c>
    </row>
    <row r="14" spans="5:8" ht="26.25" customHeight="1" x14ac:dyDescent="0.25">
      <c r="G14" s="5" t="s">
        <v>18</v>
      </c>
      <c r="H14" s="5" t="s">
        <v>16</v>
      </c>
    </row>
    <row r="15" spans="5:8" x14ac:dyDescent="0.25">
      <c r="G15" s="5" t="s">
        <v>19</v>
      </c>
      <c r="H15" s="5" t="s">
        <v>16</v>
      </c>
    </row>
    <row r="19" spans="7:17" ht="13" thickBot="1" x14ac:dyDescent="0.3"/>
    <row r="20" spans="7:17" ht="60" customHeight="1" thickBot="1" x14ac:dyDescent="0.3">
      <c r="G20" s="7" t="s">
        <v>21</v>
      </c>
      <c r="H20" s="8" t="s">
        <v>11</v>
      </c>
      <c r="I20" s="8" t="s">
        <v>11</v>
      </c>
      <c r="J20" s="9" t="s">
        <v>22</v>
      </c>
      <c r="K20" s="9" t="s">
        <v>23</v>
      </c>
    </row>
    <row r="21" spans="7:17" ht="15.5" x14ac:dyDescent="0.25">
      <c r="G21" s="18" t="s">
        <v>24</v>
      </c>
      <c r="H21" s="316" t="s">
        <v>1</v>
      </c>
      <c r="I21" s="318" t="s">
        <v>25</v>
      </c>
      <c r="J21" s="10"/>
      <c r="K21" s="10"/>
    </row>
    <row r="22" spans="7:17" ht="16" thickBot="1" x14ac:dyDescent="0.3">
      <c r="G22" s="15" t="s">
        <v>26</v>
      </c>
      <c r="H22" s="317"/>
      <c r="I22" s="319"/>
      <c r="J22" s="12" t="s">
        <v>27</v>
      </c>
      <c r="K22" s="12" t="s">
        <v>28</v>
      </c>
    </row>
    <row r="23" spans="7:17" ht="15.5" x14ac:dyDescent="0.25">
      <c r="G23" s="19" t="s">
        <v>29</v>
      </c>
      <c r="H23" s="318" t="s">
        <v>1</v>
      </c>
      <c r="I23" s="318" t="s">
        <v>25</v>
      </c>
      <c r="J23" s="13"/>
      <c r="K23" s="13"/>
    </row>
    <row r="24" spans="7:17" ht="15.5" x14ac:dyDescent="0.25">
      <c r="G24" s="19" t="s">
        <v>30</v>
      </c>
      <c r="H24" s="320"/>
      <c r="I24" s="320"/>
      <c r="J24" s="13"/>
      <c r="K24" s="13"/>
    </row>
    <row r="25" spans="7:17" ht="15.5" x14ac:dyDescent="0.25">
      <c r="G25" s="19" t="s">
        <v>31</v>
      </c>
      <c r="H25" s="320"/>
      <c r="I25" s="320"/>
      <c r="J25" s="13"/>
      <c r="K25" s="13"/>
    </row>
    <row r="26" spans="7:17" ht="15.5" x14ac:dyDescent="0.35">
      <c r="G26" s="19" t="s">
        <v>32</v>
      </c>
      <c r="H26" s="320"/>
      <c r="I26" s="320"/>
      <c r="J26" s="13"/>
      <c r="K26" s="14"/>
      <c r="P26" s="21" t="s">
        <v>11</v>
      </c>
      <c r="Q26" s="21" t="s">
        <v>45</v>
      </c>
    </row>
    <row r="27" spans="7:17" ht="15.5" x14ac:dyDescent="0.25">
      <c r="G27" s="19" t="s">
        <v>33</v>
      </c>
      <c r="H27" s="320"/>
      <c r="I27" s="320"/>
      <c r="J27" s="13" t="s">
        <v>34</v>
      </c>
      <c r="K27" s="13" t="s">
        <v>35</v>
      </c>
      <c r="P27" s="20" t="s">
        <v>42</v>
      </c>
      <c r="Q27" s="20">
        <v>200</v>
      </c>
    </row>
    <row r="28" spans="7:17" ht="15.5" x14ac:dyDescent="0.25">
      <c r="G28" s="19" t="s">
        <v>36</v>
      </c>
      <c r="H28" s="320"/>
      <c r="I28" s="320"/>
      <c r="J28" s="13"/>
      <c r="K28" s="13"/>
      <c r="P28" s="20" t="s">
        <v>43</v>
      </c>
      <c r="Q28" s="20">
        <v>300</v>
      </c>
    </row>
    <row r="29" spans="7:17" ht="15.5" x14ac:dyDescent="0.25">
      <c r="G29" s="19" t="s">
        <v>37</v>
      </c>
      <c r="H29" s="320"/>
      <c r="I29" s="320"/>
      <c r="J29" s="13"/>
      <c r="K29" s="13"/>
      <c r="P29" s="20" t="s">
        <v>44</v>
      </c>
      <c r="Q29" s="20">
        <v>200</v>
      </c>
    </row>
    <row r="30" spans="7:17" ht="16" thickBot="1" x14ac:dyDescent="0.3">
      <c r="G30" s="11" t="s">
        <v>38</v>
      </c>
      <c r="H30" s="319"/>
      <c r="I30" s="319"/>
      <c r="J30" s="12"/>
      <c r="K30" s="12"/>
      <c r="P30" s="22" t="s">
        <v>0</v>
      </c>
      <c r="Q30" s="20">
        <v>700</v>
      </c>
    </row>
    <row r="31" spans="7:17" ht="16" thickBot="1" x14ac:dyDescent="0.3">
      <c r="G31" s="15" t="s">
        <v>39</v>
      </c>
      <c r="H31" s="16" t="s">
        <v>1</v>
      </c>
      <c r="I31" s="17" t="s">
        <v>25</v>
      </c>
      <c r="J31" s="12" t="s">
        <v>40</v>
      </c>
      <c r="K31" s="12" t="s">
        <v>41</v>
      </c>
    </row>
    <row r="34" spans="7:11" ht="13" thickBot="1" x14ac:dyDescent="0.3"/>
    <row r="35" spans="7:11" ht="16" thickBot="1" x14ac:dyDescent="0.3">
      <c r="G35" s="7" t="s">
        <v>57</v>
      </c>
      <c r="H35" s="8" t="s">
        <v>48</v>
      </c>
      <c r="I35" s="8" t="s">
        <v>49</v>
      </c>
      <c r="J35" s="9"/>
      <c r="K35" s="9"/>
    </row>
    <row r="36" spans="7:11" ht="15.5" x14ac:dyDescent="0.25">
      <c r="G36" s="310" t="s">
        <v>46</v>
      </c>
      <c r="H36" s="25" t="s">
        <v>50</v>
      </c>
      <c r="I36" s="26" t="s">
        <v>54</v>
      </c>
      <c r="J36" s="10"/>
      <c r="K36" s="10"/>
    </row>
    <row r="37" spans="7:11" ht="15.5" x14ac:dyDescent="0.25">
      <c r="G37" s="311"/>
      <c r="H37" s="24" t="s">
        <v>51</v>
      </c>
      <c r="I37" s="23" t="s">
        <v>55</v>
      </c>
      <c r="J37" s="13"/>
      <c r="K37" s="13"/>
    </row>
    <row r="38" spans="7:11" ht="15.5" x14ac:dyDescent="0.25">
      <c r="G38" s="311"/>
      <c r="H38" s="24" t="s">
        <v>52</v>
      </c>
      <c r="I38" s="23" t="s">
        <v>53</v>
      </c>
      <c r="J38" s="13"/>
      <c r="K38" s="13"/>
    </row>
    <row r="39" spans="7:11" ht="15.5" x14ac:dyDescent="0.25">
      <c r="G39" s="311"/>
      <c r="H39" s="24" t="s">
        <v>25</v>
      </c>
      <c r="I39" s="23"/>
      <c r="J39" s="13"/>
      <c r="K39" s="13"/>
    </row>
    <row r="40" spans="7:11" ht="16" thickBot="1" x14ac:dyDescent="0.3">
      <c r="G40" s="312"/>
      <c r="H40" s="24" t="s">
        <v>58</v>
      </c>
      <c r="I40" s="27"/>
      <c r="J40" s="12"/>
      <c r="K40" s="12"/>
    </row>
    <row r="41" spans="7:11" ht="15.5" x14ac:dyDescent="0.25">
      <c r="G41" s="313" t="s">
        <v>47</v>
      </c>
      <c r="H41" s="28" t="s">
        <v>50</v>
      </c>
      <c r="I41" s="29">
        <v>1547</v>
      </c>
      <c r="J41" s="13"/>
      <c r="K41" s="13"/>
    </row>
    <row r="42" spans="7:11" ht="15.5" x14ac:dyDescent="0.25">
      <c r="G42" s="314"/>
      <c r="H42" s="24" t="s">
        <v>51</v>
      </c>
      <c r="I42" s="30">
        <v>1147</v>
      </c>
      <c r="J42" s="13"/>
      <c r="K42" s="13"/>
    </row>
    <row r="43" spans="7:11" ht="15.5" x14ac:dyDescent="0.25">
      <c r="G43" s="314"/>
      <c r="H43" s="24" t="s">
        <v>52</v>
      </c>
      <c r="I43" s="30">
        <v>573</v>
      </c>
      <c r="J43" s="13"/>
      <c r="K43" s="13"/>
    </row>
    <row r="44" spans="7:11" ht="15.5" x14ac:dyDescent="0.25">
      <c r="G44" s="314"/>
      <c r="H44" s="24" t="s">
        <v>25</v>
      </c>
      <c r="I44" s="30"/>
      <c r="J44" s="13"/>
      <c r="K44" s="13"/>
    </row>
    <row r="45" spans="7:11" ht="16" thickBot="1" x14ac:dyDescent="0.3">
      <c r="G45" s="315"/>
      <c r="H45" s="24" t="s">
        <v>58</v>
      </c>
      <c r="I45" s="27"/>
      <c r="J45" s="13"/>
      <c r="K45" s="13"/>
    </row>
    <row r="46" spans="7:11" ht="16" thickBot="1" x14ac:dyDescent="0.3">
      <c r="G46" s="310" t="s">
        <v>56</v>
      </c>
      <c r="H46" s="28" t="s">
        <v>50</v>
      </c>
      <c r="I46" s="29">
        <v>891</v>
      </c>
      <c r="J46" s="12"/>
      <c r="K46" s="12"/>
    </row>
    <row r="47" spans="7:11" ht="16" thickBot="1" x14ac:dyDescent="0.3">
      <c r="G47" s="311"/>
      <c r="H47" s="24" t="s">
        <v>51</v>
      </c>
      <c r="I47" s="30">
        <v>800</v>
      </c>
      <c r="J47" s="12"/>
      <c r="K47" s="12"/>
    </row>
    <row r="48" spans="7:11" ht="16" thickBot="1" x14ac:dyDescent="0.3">
      <c r="G48" s="311"/>
      <c r="H48" s="24" t="s">
        <v>52</v>
      </c>
      <c r="I48" s="30">
        <v>400</v>
      </c>
      <c r="J48" s="12"/>
      <c r="K48" s="12"/>
    </row>
    <row r="49" spans="7:11" ht="16" thickBot="1" x14ac:dyDescent="0.3">
      <c r="G49" s="311"/>
      <c r="H49" s="24" t="s">
        <v>25</v>
      </c>
      <c r="I49" s="30"/>
      <c r="J49" s="12"/>
      <c r="K49" s="12"/>
    </row>
    <row r="50" spans="7:11" ht="16" thickBot="1" x14ac:dyDescent="0.3">
      <c r="G50" s="312"/>
      <c r="H50" s="31" t="s">
        <v>58</v>
      </c>
      <c r="I50" s="27"/>
      <c r="J50" s="12"/>
      <c r="K50" s="12"/>
    </row>
  </sheetData>
  <mergeCells count="7">
    <mergeCell ref="G36:G40"/>
    <mergeCell ref="G46:G50"/>
    <mergeCell ref="G41:G45"/>
    <mergeCell ref="H21:H22"/>
    <mergeCell ref="I21:I22"/>
    <mergeCell ref="H23:H30"/>
    <mergeCell ref="I23:I30"/>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323EC-012F-4FFF-A711-F974F5F756D3}">
  <dimension ref="D10:H24"/>
  <sheetViews>
    <sheetView showGridLines="0" zoomScale="62" zoomScaleNormal="62" workbookViewId="0">
      <selection activeCell="M11" sqref="M11"/>
    </sheetView>
  </sheetViews>
  <sheetFormatPr baseColWidth="10" defaultRowHeight="12.5" x14ac:dyDescent="0.25"/>
  <cols>
    <col min="4" max="4" width="37.453125" customWidth="1"/>
    <col min="5" max="5" width="13.36328125" customWidth="1"/>
    <col min="6" max="6" width="15.08984375" customWidth="1"/>
    <col min="7" max="7" width="16.6328125" customWidth="1"/>
    <col min="8" max="8" width="18.08984375" customWidth="1"/>
  </cols>
  <sheetData>
    <row r="10" spans="4:8" ht="13" thickBot="1" x14ac:dyDescent="0.3"/>
    <row r="11" spans="4:8" ht="27.75" customHeight="1" thickBot="1" x14ac:dyDescent="0.3">
      <c r="D11" s="333" t="s">
        <v>60</v>
      </c>
      <c r="E11" s="321"/>
      <c r="F11" s="322"/>
      <c r="G11" s="321" t="s">
        <v>61</v>
      </c>
      <c r="H11" s="322"/>
    </row>
    <row r="12" spans="4:8" ht="25.5" customHeight="1" thickBot="1" x14ac:dyDescent="0.3">
      <c r="D12" s="32" t="s">
        <v>21</v>
      </c>
      <c r="E12" s="33" t="s">
        <v>59</v>
      </c>
      <c r="F12" s="33" t="s">
        <v>7</v>
      </c>
      <c r="G12" s="33" t="s">
        <v>59</v>
      </c>
      <c r="H12" s="33" t="s">
        <v>7</v>
      </c>
    </row>
    <row r="13" spans="4:8" ht="45.75" customHeight="1" x14ac:dyDescent="0.25">
      <c r="D13" s="34" t="s">
        <v>24</v>
      </c>
      <c r="E13" s="326"/>
      <c r="F13" s="328">
        <v>2360</v>
      </c>
      <c r="G13" s="323"/>
      <c r="H13" s="323"/>
    </row>
    <row r="14" spans="4:8" ht="39" customHeight="1" thickBot="1" x14ac:dyDescent="0.3">
      <c r="D14" s="35" t="s">
        <v>26</v>
      </c>
      <c r="E14" s="327"/>
      <c r="F14" s="329"/>
      <c r="G14" s="324"/>
      <c r="H14" s="324"/>
    </row>
    <row r="15" spans="4:8" ht="14.5" x14ac:dyDescent="0.25">
      <c r="D15" s="37" t="s">
        <v>29</v>
      </c>
      <c r="E15" s="330"/>
      <c r="F15" s="330">
        <v>1250</v>
      </c>
      <c r="G15" s="323" t="s">
        <v>34</v>
      </c>
      <c r="H15" s="323"/>
    </row>
    <row r="16" spans="4:8" ht="14.5" x14ac:dyDescent="0.25">
      <c r="D16" s="37" t="s">
        <v>30</v>
      </c>
      <c r="E16" s="331"/>
      <c r="F16" s="331"/>
      <c r="G16" s="325"/>
      <c r="H16" s="325"/>
    </row>
    <row r="17" spans="4:8" ht="14.5" x14ac:dyDescent="0.25">
      <c r="D17" s="37" t="s">
        <v>31</v>
      </c>
      <c r="E17" s="331"/>
      <c r="F17" s="331"/>
      <c r="G17" s="325"/>
      <c r="H17" s="325"/>
    </row>
    <row r="18" spans="4:8" ht="14.5" x14ac:dyDescent="0.25">
      <c r="D18" s="37" t="s">
        <v>32</v>
      </c>
      <c r="E18" s="331"/>
      <c r="F18" s="331"/>
      <c r="G18" s="325"/>
      <c r="H18" s="325"/>
    </row>
    <row r="19" spans="4:8" ht="14.5" x14ac:dyDescent="0.25">
      <c r="D19" s="37" t="s">
        <v>33</v>
      </c>
      <c r="E19" s="331"/>
      <c r="F19" s="331"/>
      <c r="G19" s="325"/>
      <c r="H19" s="325"/>
    </row>
    <row r="20" spans="4:8" ht="14.5" x14ac:dyDescent="0.25">
      <c r="D20" s="37" t="s">
        <v>36</v>
      </c>
      <c r="E20" s="331"/>
      <c r="F20" s="331"/>
      <c r="G20" s="325"/>
      <c r="H20" s="325"/>
    </row>
    <row r="21" spans="4:8" ht="14.5" x14ac:dyDescent="0.25">
      <c r="D21" s="37" t="s">
        <v>37</v>
      </c>
      <c r="E21" s="331"/>
      <c r="F21" s="331"/>
      <c r="G21" s="325"/>
      <c r="H21" s="325"/>
    </row>
    <row r="22" spans="4:8" ht="15" thickBot="1" x14ac:dyDescent="0.3">
      <c r="D22" s="38" t="s">
        <v>38</v>
      </c>
      <c r="E22" s="332"/>
      <c r="F22" s="332"/>
      <c r="G22" s="324"/>
      <c r="H22" s="324"/>
    </row>
    <row r="23" spans="4:8" ht="15" thickBot="1" x14ac:dyDescent="0.4">
      <c r="D23" s="38" t="s">
        <v>39</v>
      </c>
      <c r="E23" s="39" t="s">
        <v>62</v>
      </c>
      <c r="F23" s="40">
        <v>870</v>
      </c>
      <c r="G23" s="36"/>
      <c r="H23" s="36"/>
    </row>
    <row r="24" spans="4:8" x14ac:dyDescent="0.25">
      <c r="D24" s="41"/>
    </row>
  </sheetData>
  <mergeCells count="10">
    <mergeCell ref="E13:E14"/>
    <mergeCell ref="F13:F14"/>
    <mergeCell ref="E15:E22"/>
    <mergeCell ref="F15:F22"/>
    <mergeCell ref="D11:F11"/>
    <mergeCell ref="G11:H11"/>
    <mergeCell ref="G13:G14"/>
    <mergeCell ref="H13:H14"/>
    <mergeCell ref="H15:H22"/>
    <mergeCell ref="G15:G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4</vt:i4>
      </vt:variant>
    </vt:vector>
  </HeadingPairs>
  <TitlesOfParts>
    <vt:vector size="10" baseType="lpstr">
      <vt:lpstr>FORMATO DE SOLICITUD</vt:lpstr>
      <vt:lpstr>RESUMEN DE GASTOS </vt:lpstr>
      <vt:lpstr>DETALLE COMPROBACIÓN</vt:lpstr>
      <vt:lpstr>FORMATO COMPROBACIÓN</vt:lpstr>
      <vt:lpstr>Hoja4</vt:lpstr>
      <vt:lpstr>Hoja5</vt:lpstr>
      <vt:lpstr>'DETALLE COMPROBACIÓN'!Área_de_impresión</vt:lpstr>
      <vt:lpstr>'FORMATO COMPROBACIÓN'!Área_de_impresión</vt:lpstr>
      <vt:lpstr>'FORMATO DE SOLICITUD'!Área_de_impresión</vt:lpstr>
      <vt:lpstr>'RESUMEN DE GASTOS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jimenez1</dc:creator>
  <cp:lastModifiedBy>Miriam Garcia</cp:lastModifiedBy>
  <cp:lastPrinted>2025-05-19T16:46:53Z</cp:lastPrinted>
  <dcterms:created xsi:type="dcterms:W3CDTF">2004-11-01T16:04:17Z</dcterms:created>
  <dcterms:modified xsi:type="dcterms:W3CDTF">2025-08-05T22:41:40Z</dcterms:modified>
</cp:coreProperties>
</file>